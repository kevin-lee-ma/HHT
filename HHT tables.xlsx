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c314013063e2a62/Documents/Columbia VP^0S/ENT/AllOfUs/HHT.Data/HHT/"/>
    </mc:Choice>
  </mc:AlternateContent>
  <xr:revisionPtr revIDLastSave="1138" documentId="11_F25DC773A252ABDACC10481A415D430C5ADE58EB" xr6:coauthVersionLast="47" xr6:coauthVersionMax="47" xr10:uidLastSave="{2B05FCEA-AE14-46FB-A622-F49889201DD9}"/>
  <bookViews>
    <workbookView xWindow="5220" yWindow="195" windowWidth="23490" windowHeight="15285" firstSheet="4" activeTab="6" xr2:uid="{00000000-000D-0000-FFFF-FFFF00000000}"/>
  </bookViews>
  <sheets>
    <sheet name="Overview" sheetId="8" r:id="rId1"/>
    <sheet name="T1 - Demographics" sheetId="1" r:id="rId2"/>
    <sheet name="T - Genetics" sheetId="9" r:id="rId3"/>
    <sheet name="F - Symptom rates" sheetId="3" r:id="rId4"/>
    <sheet name="F - Medication use" sheetId="4" r:id="rId5"/>
    <sheet name="F - Procedures" sheetId="5" r:id="rId6"/>
    <sheet name="F - Geographic distribution" sheetId="2" r:id="rId7"/>
    <sheet name="F - Deprivation index" sheetId="6" r:id="rId8"/>
    <sheet name="F - &quot;Incidence&quot;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2" l="1"/>
  <c r="F31" i="2"/>
  <c r="F30" i="2"/>
  <c r="F29" i="2"/>
  <c r="F28" i="2"/>
  <c r="F27" i="2"/>
  <c r="F26" i="2"/>
  <c r="F25" i="2"/>
  <c r="F24" i="2"/>
  <c r="F23" i="2"/>
  <c r="K69" i="3"/>
  <c r="K68" i="3"/>
  <c r="K67" i="3"/>
  <c r="K66" i="3"/>
  <c r="K65" i="3"/>
  <c r="K64" i="3"/>
  <c r="K63" i="3"/>
  <c r="K62" i="3"/>
  <c r="I69" i="3"/>
  <c r="I68" i="3"/>
  <c r="I67" i="3"/>
  <c r="I66" i="3"/>
  <c r="I65" i="3"/>
  <c r="I64" i="3"/>
  <c r="I63" i="3"/>
  <c r="I62" i="3"/>
  <c r="K61" i="3"/>
  <c r="I61" i="3"/>
  <c r="E60" i="3"/>
  <c r="E59" i="3"/>
  <c r="E58" i="3"/>
  <c r="E57" i="3"/>
  <c r="E56" i="3"/>
  <c r="E55" i="3"/>
  <c r="E54" i="3"/>
  <c r="E53" i="3"/>
  <c r="C60" i="3"/>
  <c r="C59" i="3"/>
  <c r="C58" i="3"/>
  <c r="C57" i="3"/>
  <c r="C56" i="3"/>
  <c r="C55" i="3"/>
  <c r="C54" i="3"/>
  <c r="C53" i="3"/>
  <c r="E52" i="3"/>
  <c r="C52" i="3"/>
  <c r="P7" i="2"/>
  <c r="P6" i="2"/>
  <c r="P5" i="2"/>
  <c r="K44" i="3"/>
  <c r="K26" i="3"/>
  <c r="K38" i="3"/>
  <c r="K51" i="3"/>
  <c r="K50" i="3"/>
  <c r="K49" i="3"/>
  <c r="K48" i="3"/>
  <c r="K47" i="3"/>
  <c r="K46" i="3"/>
  <c r="K45" i="3"/>
  <c r="K43" i="3"/>
  <c r="K42" i="3"/>
  <c r="K41" i="3"/>
  <c r="K40" i="3"/>
  <c r="K39" i="3"/>
  <c r="K37" i="3"/>
  <c r="K36" i="3"/>
  <c r="K35" i="3"/>
  <c r="K34" i="3"/>
  <c r="K33" i="3"/>
  <c r="K32" i="3"/>
  <c r="K31" i="3"/>
  <c r="K30" i="3"/>
  <c r="K29" i="3"/>
  <c r="K28" i="3"/>
  <c r="K27" i="3"/>
  <c r="K25" i="3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E32" i="3"/>
  <c r="E38" i="3"/>
  <c r="E37" i="3"/>
  <c r="E36" i="3"/>
  <c r="E35" i="3"/>
  <c r="E34" i="3"/>
  <c r="E33" i="3"/>
  <c r="E31" i="3"/>
  <c r="E30" i="3"/>
  <c r="E29" i="3"/>
  <c r="E28" i="3"/>
  <c r="E27" i="3"/>
  <c r="E26" i="3"/>
  <c r="E25" i="3"/>
  <c r="E7" i="5"/>
  <c r="E15" i="5"/>
  <c r="E14" i="5"/>
  <c r="E13" i="5"/>
  <c r="E12" i="5"/>
  <c r="E11" i="5"/>
  <c r="E10" i="5"/>
  <c r="E9" i="5"/>
  <c r="E8" i="5"/>
  <c r="E6" i="5"/>
  <c r="D12" i="9"/>
</calcChain>
</file>

<file path=xl/sharedStrings.xml><?xml version="1.0" encoding="utf-8"?>
<sst xmlns="http://schemas.openxmlformats.org/spreadsheetml/2006/main" count="506" uniqueCount="247">
  <si>
    <t>Table 1. Demographic characteristics by HHT status</t>
  </si>
  <si>
    <t>Characteristic</t>
  </si>
  <si>
    <t>p value</t>
  </si>
  <si>
    <t>Age, years</t>
  </si>
  <si>
    <t>&lt;0.001</t>
  </si>
  <si>
    <t>Sex, n (%)</t>
  </si>
  <si>
    <t>Female</t>
  </si>
  <si>
    <t>190 (73.1)</t>
  </si>
  <si>
    <t>Male</t>
  </si>
  <si>
    <t>62 (23.8)</t>
  </si>
  <si>
    <t>Other/Skip</t>
  </si>
  <si>
    <t>8 (3.1)</t>
  </si>
  <si>
    <t>Race, n (%)</t>
  </si>
  <si>
    <t>Asian</t>
  </si>
  <si>
    <t>2 (0.8)</t>
  </si>
  <si>
    <t>Black or African American</t>
  </si>
  <si>
    <t>23 (8.8)</t>
  </si>
  <si>
    <t>55 (21.2)</t>
  </si>
  <si>
    <t>White</t>
  </si>
  <si>
    <t>180 (69.2)</t>
  </si>
  <si>
    <t>Ethnicity, n (%)</t>
  </si>
  <si>
    <t>Hispanic or Latino</t>
  </si>
  <si>
    <t>40 (15.4)</t>
  </si>
  <si>
    <t>Not Hispanic or Latino</t>
  </si>
  <si>
    <t>211 (81.2)</t>
  </si>
  <si>
    <t>9 (3.5)</t>
  </si>
  <si>
    <t>Values are mean (SD) for age and n (%) for categorical variables.</t>
  </si>
  <si>
    <t>Abbreviations: HHT, hereditary hemorrhagic telangiectasia; SD, standard deviation.</t>
  </si>
  <si>
    <t>N of 260 out of 747,040 AoU participants gives us estimated prevalence of 1 in 2873</t>
  </si>
  <si>
    <t>Inclusion Criteria</t>
  </si>
  <si>
    <t>Demographic Variables</t>
  </si>
  <si>
    <t>Project Overview</t>
  </si>
  <si>
    <t>probably underdiagnosed because they don't have symptoms</t>
  </si>
  <si>
    <t>confirm if the eng/acvrl1 mutation is sufficient to diagnose them with hht</t>
  </si>
  <si>
    <t>end goal: AoU told us that a ton of people have underlying undiagnosed HHT?</t>
  </si>
  <si>
    <t>Background</t>
  </si>
  <si>
    <t>Genetics Cohort Summary</t>
  </si>
  <si>
    <t>Diagnosis status and pathogenic/likely-pathogenic variants across ENG, ACVRL1, SMAD4, and GDF2</t>
  </si>
  <si>
    <t>DIAGNOSIS VS. VARIANT STATUS</t>
  </si>
  <si>
    <t>HHT diagnosis</t>
  </si>
  <si>
    <t>Qualifying variant</t>
  </si>
  <si>
    <t>People</t>
  </si>
  <si>
    <t>Cohort share</t>
  </si>
  <si>
    <t>Yes</t>
  </si>
  <si>
    <t>No</t>
  </si>
  <si>
    <t>CARRIER COUNTS BY GENE</t>
  </si>
  <si>
    <t>Gene</t>
  </si>
  <si>
    <t>Carriers</t>
  </si>
  <si>
    <t>ENG</t>
  </si>
  <si>
    <t>ACVRL1</t>
  </si>
  <si>
    <t>SMAD4</t>
  </si>
  <si>
    <t>GDF2</t>
  </si>
  <si>
    <t>Carrier categories are not mutually exclusive; however, no person carried qualifying variants in more than one of these four genes.</t>
  </si>
  <si>
    <t>DIAGNOSIS BY OBSERVED GENE COMBINATION</t>
  </si>
  <si>
    <t>Gene combination</t>
  </si>
  <si>
    <t>None</t>
  </si>
  <si>
    <t>Total</t>
  </si>
  <si>
    <t>Techniques: conditions + NLP + "control of epistaxis" patients</t>
  </si>
  <si>
    <t>AVM surgery/embolization</t>
  </si>
  <si>
    <t>Control of epistaxis</t>
  </si>
  <si>
    <t>GI endoscopy/procedure</t>
  </si>
  <si>
    <t>Other embolization/vascular procedure</t>
  </si>
  <si>
    <t>Transfusion</t>
  </si>
  <si>
    <t>Procedure Use by HHT Status</t>
  </si>
  <si>
    <t>Recorded procedures among participants with diagnosed HHT and variant-positive participants without an HHT diagnosis</t>
  </si>
  <si>
    <t>PROCEDURE RATES</t>
  </si>
  <si>
    <t>HHT status</t>
  </si>
  <si>
    <t>Procedure category</t>
  </si>
  <si>
    <t>Group size</t>
  </si>
  <si>
    <t>Rate</t>
  </si>
  <si>
    <t>Present</t>
  </si>
  <si>
    <t>Absent</t>
  </si>
  <si>
    <t>1) HHT is underdiagnosed - why, how, where?
2) HHT genetics?</t>
  </si>
  <si>
    <t>Objectives</t>
  </si>
  <si>
    <t>Gender, race, ethnicity, zip code, socioeconomic deprivation index</t>
  </si>
  <si>
    <t>Clinical Variables</t>
  </si>
  <si>
    <t>Symptom rates (epistaxis, GI bleed, cerebral AVM, pulmonary AVM)</t>
  </si>
  <si>
    <t>Procedure rates (control of epistaxis, GI scope, AVM surgery, embolization, RBC transfusion)</t>
  </si>
  <si>
    <t>Medication use (bevacizumab, TXA, iron)</t>
  </si>
  <si>
    <r>
      <t xml:space="preserve">N = 1,264 -&gt; </t>
    </r>
    <r>
      <rPr>
        <b/>
        <sz val="11"/>
        <color theme="1"/>
        <rFont val="Calibri"/>
        <family val="2"/>
        <scheme val="minor"/>
      </rPr>
      <t>1,302</t>
    </r>
    <r>
      <rPr>
        <sz val="11"/>
        <color theme="1"/>
        <rFont val="Calibri"/>
        <family val="2"/>
        <scheme val="minor"/>
      </rPr>
      <t xml:space="preserve"> of whom 260 (20.6%) have a diagnosis of HHT, &gt;96% have WGS data available.
746,769 controls. </t>
    </r>
  </si>
  <si>
    <t>Clinical notes NLP data</t>
  </si>
  <si>
    <t>Anemia/iron deficiency</t>
  </si>
  <si>
    <t>Cerebral AVM</t>
  </si>
  <si>
    <t>Epistaxis</t>
  </si>
  <si>
    <t>GI AVM</t>
  </si>
  <si>
    <t>GI bleed</t>
  </si>
  <si>
    <t>Mucocutaneous telangiectasia</t>
  </si>
  <si>
    <t>Pulmonary AVM</t>
  </si>
  <si>
    <t>SYMPTOM AND CONDITION RATES</t>
  </si>
  <si>
    <t>Reported clinical conditions among participants with diagnosed HHT and variant-positive participants without an HHT diagnosis</t>
  </si>
  <si>
    <t>Condition category</t>
  </si>
  <si>
    <r>
      <t xml:space="preserve">1) All patients with diagnosed HHT, AND/OR
2) Pathogenic or likely pathogenic variants in ENG, ACVRL1, SMAD4, and/or GDF2.
</t>
    </r>
    <r>
      <rPr>
        <b/>
        <sz val="11"/>
        <color theme="1"/>
        <rFont val="Calibri"/>
        <family val="2"/>
        <scheme val="minor"/>
      </rPr>
      <t>3) Controls (neither of above)</t>
    </r>
  </si>
  <si>
    <t>1) HHT has virtually 100% penetrance but variable expressivity, meaning that almost all patients will be symptomatic by late adulthood (~50s).
2) Mutations in ENG (HHT1, 61%), ACVRL1 (HHT2, 37%), SMAD4 (juvenile polyposis, 2%) cause HHT. GDF2 is rare and causes HHT5 ("HHT-like").</t>
  </si>
  <si>
    <t>clinical + genetic</t>
  </si>
  <si>
    <t>clinical only</t>
  </si>
  <si>
    <t>consider matching based on HTN, ?COPD?, ESRD, stuff that will affect bleeding?</t>
  </si>
  <si>
    <t>General population</t>
  </si>
  <si>
    <t>Genetic mutation (no diagnosis)</t>
  </si>
  <si>
    <t>AVM - other/unspecified</t>
  </si>
  <si>
    <t>Liver AVM</t>
  </si>
  <si>
    <t>56.59 (17.04)</t>
  </si>
  <si>
    <t>64.32 (15.93)</t>
  </si>
  <si>
    <t>633 (60.5)</t>
  </si>
  <si>
    <t>396 (37.8)</t>
  </si>
  <si>
    <t>18 (1.7)</t>
  </si>
  <si>
    <t>606 (57.9)</t>
  </si>
  <si>
    <t>158 (15.1)</t>
  </si>
  <si>
    <t>33 (3.2)</t>
  </si>
  <si>
    <t>250 (23.9)</t>
  </si>
  <si>
    <t>189 (18.1)</t>
  </si>
  <si>
    <t>830 (79.3)</t>
  </si>
  <si>
    <t>28 (2.7)</t>
  </si>
  <si>
    <t>Genetic mutation (no diagnosis) (n = 1,047)</t>
  </si>
  <si>
    <t>HHT diagnosis (n = 260)</t>
  </si>
  <si>
    <t>Comparison of the general population, undiagnosed participants bearing pathogenic or likely pathogenic ENG or ACVRL1 variants, and patients diagnosed with HHT</t>
  </si>
  <si>
    <t>General population (n = 745,722)</t>
  </si>
  <si>
    <t>56.33 (17.18)</t>
  </si>
  <si>
    <t>460150 (61.7)</t>
  </si>
  <si>
    <t>268825 (36.0)</t>
  </si>
  <si>
    <t>16747 (2.2)</t>
  </si>
  <si>
    <t>417573 (56.0)</t>
  </si>
  <si>
    <t>115345 (15.5)</t>
  </si>
  <si>
    <t>27719 (3.7)</t>
  </si>
  <si>
    <t>185085 (24.8)</t>
  </si>
  <si>
    <t>136670 (18.3)</t>
  </si>
  <si>
    <t>587842 (78.8)</t>
  </si>
  <si>
    <t>21210 (2.8)</t>
  </si>
  <si>
    <t>Procedure Use Across Study Groups</t>
  </si>
  <si>
    <t>Recorded procedures in the general population, variant-positive participants without an HHT diagnosis, and participants diagnosed with HHT</t>
  </si>
  <si>
    <t>PROCEDURE RATES BY STUDY GROUP</t>
  </si>
  <si>
    <t>Study group</t>
  </si>
  <si>
    <t>Two explanations for why many HHT patients apparently have no mutation that may be both partially correct:
1) People are being diagnosed clinically and yet they have no mutation = maybe they're being overdiagnosed 
2) We are missing variants because this is just based on ClinVar which probably only captures ~60% of known pathogenic and likely pathogenic variants, and misses potentially pathogenic variants per ACMG - see figure from Gaetani below:</t>
  </si>
  <si>
    <t>STRUCTURAL VARIANTS</t>
  </si>
  <si>
    <t>Findings: structural variants (SVs) are extremely rare in the study population (&lt;0.1%). 49 of our 260 HHT-diagnosed people have SV data, and 0 of them have SVs disrupting our target genes.</t>
  </si>
  <si>
    <t>Of all 19,202 people who have ever had an epistaxis diagnosis code, 68 (0.35%) bore a qualifying P/LP variant: 39 ENG, 27 ACVRL1, 2 SMAD4, 0 GDF2.</t>
  </si>
  <si>
    <t>Carrier epistaxis rate:     68 / 1085 = 6.27%</t>
  </si>
  <si>
    <t>Non-carrier epistaxis rate: 19134 / 745944 = 2.57%</t>
  </si>
  <si>
    <t>Odds ratio: 2.54, Fisher's exact p = 6.08e-11</t>
  </si>
  <si>
    <t xml:space="preserve"> </t>
  </si>
  <si>
    <t>Linkage to a Real EHR Clinical Site, by Group</t>
  </si>
  <si>
    <t>Participants</t>
  </si>
  <si>
    <t>Linked to EHR site</t>
  </si>
  <si>
    <t>Linked (%)</t>
  </si>
  <si>
    <t>Site Concentration Among Participants With a Linked EHR Site</t>
  </si>
  <si>
    <t>Linked participants</t>
  </si>
  <si>
    <t>Distinct sites</t>
  </si>
  <si>
    <t>Top site</t>
  </si>
  <si>
    <t>Top-site share</t>
  </si>
  <si>
    <t>HHI</t>
  </si>
  <si>
    <t>EHR site 699</t>
  </si>
  <si>
    <t>EHR site 321</t>
  </si>
  <si>
    <t>EHR site 392</t>
  </si>
  <si>
    <t>Top Primary EHR Sites by Study Group</t>
  </si>
  <si>
    <t>Primary EHR site</t>
  </si>
  <si>
    <t>Share of linked</t>
  </si>
  <si>
    <t>EHR site 305</t>
  </si>
  <si>
    <t>EHR site 638</t>
  </si>
  <si>
    <t>EHR site 195</t>
  </si>
  <si>
    <t>EHR site 765</t>
  </si>
  <si>
    <t>EHR site 250</t>
  </si>
  <si>
    <t>Primary EHR site × study group: χ² = 155.7, df = 18, p &lt; 2×10⁻¹⁶</t>
  </si>
  <si>
    <t>Top Self-Reported States by Study Group</t>
  </si>
  <si>
    <t>State</t>
  </si>
  <si>
    <t>Share of group</t>
  </si>
  <si>
    <t>CA</t>
  </si>
  <si>
    <t>AZ</t>
  </si>
  <si>
    <t>IL</t>
  </si>
  <si>
    <t>MA</t>
  </si>
  <si>
    <t>PA</t>
  </si>
  <si>
    <t>WI</t>
  </si>
  <si>
    <t>AL</t>
  </si>
  <si>
    <t>MI</t>
  </si>
  <si>
    <t>Symptom Rates: HHT Cases vs Non-HHT Controls</t>
  </si>
  <si>
    <t>Comparison by diagnosis status, without regard to genetic variant status</t>
  </si>
  <si>
    <t>HHT case (n=260)</t>
  </si>
  <si>
    <t>Non-HHT control (n=746,769)</t>
  </si>
  <si>
    <t>Rates are calculated from the group sizes shown in the column headers.</t>
  </si>
  <si>
    <t>Age at First Symptom Diagnosis</t>
  </si>
  <si>
    <t>n</t>
  </si>
  <si>
    <t>HHT-diagnosed participants; ages shown in years</t>
  </si>
  <si>
    <t>Median age</t>
  </si>
  <si>
    <t>Interquartile range</t>
  </si>
  <si>
    <t>32.2–54.4</t>
  </si>
  <si>
    <t>42.0–66.3</t>
  </si>
  <si>
    <t>42.6–64.9</t>
  </si>
  <si>
    <t>41.8–62.8</t>
  </si>
  <si>
    <t>54.1–68.3</t>
  </si>
  <si>
    <t>43.5–65.6</t>
  </si>
  <si>
    <t>63.9–64.9</t>
  </si>
  <si>
    <t>37.7–66.1</t>
  </si>
  <si>
    <t>44.3–66.5</t>
  </si>
  <si>
    <t>Comparison without regard to genetic mutation status</t>
  </si>
  <si>
    <t>Non-HHT (n = 746,769)</t>
  </si>
  <si>
    <t>HHT (n = 163)</t>
  </si>
  <si>
    <t>56.39 (17.18)</t>
  </si>
  <si>
    <t>62.96 (16.43)</t>
  </si>
  <si>
    <t>460,783 (61.7)</t>
  </si>
  <si>
    <t>119 (73.0)</t>
  </si>
  <si>
    <t>269,221 (36.1)</t>
  </si>
  <si>
    <t>39 (23.9)</t>
  </si>
  <si>
    <t>16,765 (2.2)</t>
  </si>
  <si>
    <t>5 (3.1)</t>
  </si>
  <si>
    <t>27,752 (3.7)</t>
  </si>
  <si>
    <t>2 (1.2)</t>
  </si>
  <si>
    <t>115,503 (15.5)</t>
  </si>
  <si>
    <t>17 (10.4)</t>
  </si>
  <si>
    <t>185,335 (24.8)</t>
  </si>
  <si>
    <t>34 (20.9)</t>
  </si>
  <si>
    <t>418,179 (56.0)</t>
  </si>
  <si>
    <t>110 (67.5)</t>
  </si>
  <si>
    <t>136,859 (18.3)</t>
  </si>
  <si>
    <t>29 (17.8)</t>
  </si>
  <si>
    <t>588,672 (78.8)</t>
  </si>
  <si>
    <t>128 (78.5)</t>
  </si>
  <si>
    <t>21,238 (2.8)</t>
  </si>
  <si>
    <t>6 (3.7)</t>
  </si>
  <si>
    <t>Table 1 (2+ diagnoses): Demographic Characteristics by HHT Status</t>
  </si>
  <si>
    <t>hht</t>
  </si>
  <si>
    <t>condition_category</t>
  </si>
  <si>
    <t>n_persons</t>
  </si>
  <si>
    <t>hht_n</t>
  </si>
  <si>
    <t>pct</t>
  </si>
  <si>
    <t>&lt;lgl&gt;</t>
  </si>
  <si>
    <t>&lt;chr&gt;</t>
  </si>
  <si>
    <t>&lt;int&gt;</t>
  </si>
  <si>
    <t>&lt;dbl&gt;</t>
  </si>
  <si>
    <t>Table 2 (2+ diagnoses): Symptom Rates</t>
  </si>
  <si>
    <t>Comparison by HHT diagnosis status among participants meeting the 2+ diagnosis definition</t>
  </si>
  <si>
    <t>HHT case (n=163)</t>
  </si>
  <si>
    <t>p-adj</t>
  </si>
  <si>
    <t>median_age</t>
  </si>
  <si>
    <t>q1_age</t>
  </si>
  <si>
    <t>q3_age</t>
  </si>
  <si>
    <t>(2+ diagnoses) Age at First Symptom Diagnosis</t>
  </si>
  <si>
    <t>A tibble: 9 × 6</t>
  </si>
  <si>
    <t>procedure_category</t>
  </si>
  <si>
    <t>(2+ Diagnoses) Procedure Rates</t>
  </si>
  <si>
    <t>State Enrichment Among HHT-Diagnosed Participants</t>
  </si>
  <si>
    <t>HHT share compared with the All of Us baseline; values above 1.0 indicate over-representation</t>
  </si>
  <si>
    <t>HHT participants</t>
  </si>
  <si>
    <t>HHT share</t>
  </si>
  <si>
    <t>AoU baseline participants</t>
  </si>
  <si>
    <t>AoU baseline share</t>
  </si>
  <si>
    <t>Enrichment ratio</t>
  </si>
  <si>
    <t>MN</t>
  </si>
  <si>
    <t>FL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</si>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</sst>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0.0"/>
    <numFmt numFmtId="171" formatCode="0.00\x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i/>
      <sz val="10"/>
      <color rgb="FF555555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i/>
      <sz val="9"/>
      <color rgb="FF4B5563"/>
      <name val="Arial"/>
      <family val="2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Segoe UI"/>
      <family val="2"/>
    </font>
    <font>
      <b/>
      <sz val="11"/>
      <name val="Calibri"/>
      <family val="2"/>
      <scheme val="minor"/>
    </font>
    <font>
      <b/>
      <sz val="10"/>
      <color rgb="FFFFFFFF"/>
      <name val="Segoe UI"/>
      <family val="2"/>
    </font>
    <font>
      <sz val="10"/>
      <color theme="1"/>
      <name val="Consolas"/>
      <family val="3"/>
    </font>
    <font>
      <i/>
      <sz val="11"/>
      <color rgb="FF1F1F1F"/>
      <name val="Calibri"/>
      <family val="2"/>
      <scheme val="minor"/>
    </font>
    <font>
      <b/>
      <sz val="15"/>
      <color rgb="FFFFFFFF"/>
      <name val="Consolas"/>
      <family val="3"/>
    </font>
    <font>
      <b/>
      <i/>
      <sz val="11"/>
      <color rgb="FF404040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i/>
      <sz val="10"/>
      <color rgb="FF666666"/>
      <name val="Arial"/>
      <family val="2"/>
    </font>
    <font>
      <b/>
      <sz val="11"/>
      <color rgb="FF1F4E78"/>
      <name val="Calibri"/>
      <family val="2"/>
      <scheme val="minor"/>
    </font>
    <font>
      <b/>
      <sz val="10"/>
      <color theme="1"/>
      <name val="Segoe UI"/>
      <family val="2"/>
    </font>
    <font>
      <i/>
      <sz val="10"/>
      <color rgb="FF44546A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151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CE6F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A6A6A6"/>
      </bottom>
      <diagonal/>
    </border>
    <border>
      <left/>
      <right/>
      <top style="thin">
        <color rgb="FF7F8FA6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6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right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3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3" fontId="0" fillId="0" borderId="4" xfId="0" applyNumberFormat="1" applyBorder="1" applyAlignment="1">
      <alignment horizontal="right" vertical="center"/>
    </xf>
    <xf numFmtId="164" fontId="0" fillId="0" borderId="4" xfId="0" applyNumberFormat="1" applyBorder="1" applyAlignment="1">
      <alignment horizontal="right" vertical="center"/>
    </xf>
    <xf numFmtId="0" fontId="1" fillId="0" borderId="0" xfId="0" applyFont="1" applyAlignment="1">
      <alignment wrapText="1"/>
    </xf>
    <xf numFmtId="10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7" borderId="5" xfId="0" applyFill="1" applyBorder="1" applyAlignment="1">
      <alignment horizontal="left" vertical="center" wrapText="1"/>
    </xf>
    <xf numFmtId="0" fontId="0" fillId="8" borderId="5" xfId="0" applyFill="1" applyBorder="1" applyAlignment="1">
      <alignment horizontal="left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3" fontId="13" fillId="6" borderId="0" xfId="0" applyNumberFormat="1" applyFont="1" applyFill="1" applyAlignment="1">
      <alignment horizontal="right" vertical="center" wrapText="1"/>
    </xf>
    <xf numFmtId="10" fontId="13" fillId="6" borderId="0" xfId="0" applyNumberFormat="1" applyFont="1" applyFill="1" applyAlignment="1">
      <alignment horizontal="right" vertical="center" wrapText="1"/>
    </xf>
    <xf numFmtId="0" fontId="13" fillId="6" borderId="0" xfId="0" applyFont="1" applyFill="1" applyAlignment="1">
      <alignment horizontal="left" vertical="center" wrapText="1"/>
    </xf>
    <xf numFmtId="0" fontId="15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3" fillId="6" borderId="4" xfId="0" applyFont="1" applyFill="1" applyBorder="1" applyAlignment="1">
      <alignment horizontal="left" vertical="center" wrapText="1"/>
    </xf>
    <xf numFmtId="3" fontId="13" fillId="6" borderId="4" xfId="0" applyNumberFormat="1" applyFont="1" applyFill="1" applyBorder="1" applyAlignment="1">
      <alignment horizontal="right" vertical="center" wrapText="1"/>
    </xf>
    <xf numFmtId="10" fontId="13" fillId="6" borderId="4" xfId="0" applyNumberFormat="1" applyFont="1" applyFill="1" applyBorder="1" applyAlignment="1">
      <alignment horizontal="right" vertical="center" wrapText="1"/>
    </xf>
    <xf numFmtId="165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11" borderId="0" xfId="0" applyFont="1" applyFill="1" applyAlignment="1">
      <alignment horizontal="center"/>
    </xf>
    <xf numFmtId="0" fontId="1" fillId="0" borderId="6" xfId="0" applyFont="1" applyBorder="1" applyAlignment="1">
      <alignment vertical="center"/>
    </xf>
    <xf numFmtId="3" fontId="0" fillId="0" borderId="6" xfId="0" applyNumberFormat="1" applyBorder="1" applyAlignment="1">
      <alignment horizontal="right" vertical="center"/>
    </xf>
    <xf numFmtId="164" fontId="0" fillId="0" borderId="6" xfId="0" applyNumberFormat="1" applyBorder="1" applyAlignment="1">
      <alignment horizontal="right" vertical="center"/>
    </xf>
    <xf numFmtId="0" fontId="1" fillId="0" borderId="7" xfId="0" applyFont="1" applyBorder="1" applyAlignment="1">
      <alignment vertical="center"/>
    </xf>
    <xf numFmtId="3" fontId="0" fillId="0" borderId="7" xfId="0" applyNumberFormat="1" applyBorder="1" applyAlignment="1">
      <alignment horizontal="right" vertical="center"/>
    </xf>
    <xf numFmtId="164" fontId="0" fillId="0" borderId="7" xfId="0" applyNumberForma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3" fontId="0" fillId="0" borderId="8" xfId="0" applyNumberFormat="1" applyBorder="1" applyAlignment="1">
      <alignment horizontal="right" vertical="center"/>
    </xf>
    <xf numFmtId="164" fontId="0" fillId="0" borderId="8" xfId="0" applyNumberFormat="1" applyBorder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11" borderId="9" xfId="0" applyFont="1" applyFill="1" applyBorder="1" applyAlignment="1">
      <alignment vertical="center"/>
    </xf>
    <xf numFmtId="0" fontId="1" fillId="11" borderId="9" xfId="0" applyFont="1" applyFill="1" applyBorder="1" applyAlignment="1">
      <alignment horizontal="right" vertical="center"/>
    </xf>
    <xf numFmtId="0" fontId="0" fillId="0" borderId="0" xfId="0" applyAlignment="1">
      <alignment vertical="center" indent="1"/>
    </xf>
    <xf numFmtId="0" fontId="22" fillId="0" borderId="0" xfId="0" applyFont="1" applyAlignment="1">
      <alignment horizontal="right" vertical="center"/>
    </xf>
    <xf numFmtId="0" fontId="22" fillId="11" borderId="9" xfId="0" applyFont="1" applyFill="1" applyBorder="1" applyAlignment="1">
      <alignment horizontal="right" vertical="center"/>
    </xf>
    <xf numFmtId="0" fontId="23" fillId="6" borderId="0" xfId="0" applyFont="1" applyFill="1" applyAlignment="1">
      <alignment horizontal="right" vertical="center" wrapText="1"/>
    </xf>
    <xf numFmtId="0" fontId="13" fillId="6" borderId="0" xfId="0" applyFont="1" applyFill="1" applyAlignment="1">
      <alignment horizontal="right" vertical="center" wrapText="1"/>
    </xf>
    <xf numFmtId="0" fontId="8" fillId="5" borderId="0" xfId="0" applyFont="1" applyFill="1"/>
    <xf numFmtId="0" fontId="9" fillId="4" borderId="0" xfId="0" applyFont="1" applyFill="1" applyAlignment="1">
      <alignment vertical="center"/>
    </xf>
    <xf numFmtId="0" fontId="11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10" fillId="12" borderId="0" xfId="0" applyFont="1" applyFill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20" fillId="4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0" fillId="6" borderId="0" xfId="0" applyFill="1" applyAlignment="1">
      <alignment horizontal="center" vertical="center"/>
    </xf>
    <xf numFmtId="0" fontId="0" fillId="0" borderId="0" xfId="0"/>
    <xf numFmtId="0" fontId="10" fillId="0" borderId="0" xfId="0" applyFont="1"/>
    <xf numFmtId="0" fontId="8" fillId="5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/>
    </xf>
    <xf numFmtId="0" fontId="12" fillId="5" borderId="0" xfId="0" applyFont="1" applyFill="1" applyAlignment="1">
      <alignment vertical="center"/>
    </xf>
    <xf numFmtId="0" fontId="18" fillId="4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0" fontId="12" fillId="10" borderId="0" xfId="0" applyFont="1" applyFill="1" applyAlignment="1">
      <alignment vertical="center"/>
    </xf>
    <xf numFmtId="0" fontId="17" fillId="11" borderId="0" xfId="0" applyFont="1" applyFill="1" applyAlignment="1">
      <alignment vertical="center"/>
    </xf>
    <xf numFmtId="0" fontId="24" fillId="13" borderId="0" xfId="0" applyFont="1" applyFill="1" applyAlignment="1">
      <alignment vertical="center"/>
    </xf>
    <xf numFmtId="3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89">
    <dxf>
      <font>
        <color rgb="FF9C0006"/>
      </font>
      <fill>
        <patternFill patternType="solid">
          <fgColor indexed="64"/>
          <bgColor rgb="FFFCE4D6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  <dxf>
      <font>
        <b/>
      </font>
      <alignment horizontal="left"/>
    </dxf>
    <dxf>
      <numFmt numFmtId="171" formatCode="0.00\x"/>
      <alignment horizontal="right"/>
    </dxf>
    <dxf>
      <numFmt numFmtId="14" formatCode="0.00%"/>
      <alignment horizontal="right"/>
    </dxf>
    <dxf>
      <numFmt numFmtId="14" formatCode="0.00%"/>
      <alignment horizontal="right"/>
    </dxf>
    <dxf>
      <numFmt numFmtId="3" formatCode="#,##0"/>
      <alignment horizontal="right"/>
    </dxf>
    <dxf>
      <numFmt numFmtId="3" formatCode="#,##0"/>
      <alignment horizontal="right"/>
    </dxf>
    <dxf>
      <font>
        <b/>
      </font>
    </dxf>
    <dxf>
      <numFmt numFmtId="164" formatCode="0.0%"/>
      <alignment horizontal="right" vertical="center"/>
    </dxf>
    <dxf>
      <numFmt numFmtId="3" formatCode="#,##0"/>
      <alignment horizontal="right" vertical="center"/>
    </dxf>
    <dxf>
      <alignment horizontal="center" vertical="center"/>
    </dxf>
    <dxf>
      <alignment vertical="center"/>
    </dxf>
    <dxf>
      <alignment vertical="center"/>
    </dxf>
    <dxf>
      <alignment vertical="center"/>
    </dxf>
    <dxf>
      <numFmt numFmtId="164" formatCode="0.0%"/>
      <alignment horizontal="right" vertical="center"/>
    </dxf>
    <dxf>
      <numFmt numFmtId="3" formatCode="#,##0"/>
      <alignment horizontal="right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0.000"/>
      <alignment horizontal="right" vertical="center"/>
    </dxf>
    <dxf>
      <numFmt numFmtId="164" formatCode="0.0%"/>
      <alignment horizontal="right" vertical="center"/>
    </dxf>
    <dxf>
      <alignment vertical="center"/>
    </dxf>
    <dxf>
      <numFmt numFmtId="3" formatCode="#,##0"/>
      <alignment horizontal="right" vertical="center"/>
    </dxf>
    <dxf>
      <numFmt numFmtId="3" formatCode="#,##0"/>
      <alignment horizontal="right" vertical="center"/>
    </dxf>
    <dxf>
      <alignment vertical="center"/>
    </dxf>
    <dxf>
      <alignment vertical="center"/>
    </dxf>
    <dxf>
      <alignment vertical="center"/>
    </dxf>
    <dxf>
      <numFmt numFmtId="164" formatCode="0.0%"/>
      <alignment horizontal="right" vertical="center"/>
    </dxf>
    <dxf>
      <numFmt numFmtId="3" formatCode="#,##0"/>
      <alignment horizontal="right" vertical="center"/>
    </dxf>
    <dxf>
      <numFmt numFmtId="3" formatCode="#,##0"/>
      <alignment horizontal="right" vertical="center"/>
    </dxf>
    <dxf>
      <alignment vertical="center"/>
    </dxf>
    <dxf>
      <alignment vertical="center"/>
    </dxf>
    <dxf>
      <alignment vertical="center"/>
    </dxf>
    <dxf>
      <numFmt numFmtId="0" formatCode="General"/>
      <alignment horizontal="right" vertical="center"/>
    </dxf>
    <dxf>
      <numFmt numFmtId="166" formatCode="0.0"/>
      <alignment horizontal="right" vertical="center"/>
    </dxf>
    <dxf>
      <numFmt numFmtId="3" formatCode="#,##0"/>
      <alignment horizontal="right"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numFmt numFmtId="164" formatCode="0.0%"/>
      <alignment horizontal="right" vertical="center"/>
    </dxf>
    <dxf>
      <numFmt numFmtId="3" formatCode="#,##0"/>
      <alignment horizontal="right" vertical="center"/>
    </dxf>
    <dxf>
      <numFmt numFmtId="3" formatCode="#,##0"/>
      <alignment horizontal="right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0.0%"/>
      <alignment horizontal="right" vertical="center"/>
    </dxf>
    <dxf>
      <numFmt numFmtId="3" formatCode="#,##0"/>
      <alignment horizontal="right" vertical="center"/>
    </dxf>
    <dxf>
      <alignment vertical="center"/>
    </dxf>
    <dxf>
      <alignment vertical="center"/>
    </dxf>
    <dxf>
      <alignment vertical="center"/>
    </dxf>
    <dxf>
      <font>
        <b/>
      </font>
      <alignment vertical="center"/>
    </dxf>
    <dxf>
      <numFmt numFmtId="3" formatCode="#,##0"/>
      <alignment horizontal="right" vertical="center"/>
    </dxf>
    <dxf>
      <alignment vertical="center"/>
    </dxf>
    <dxf>
      <alignment vertical="center"/>
    </dxf>
    <dxf>
      <font>
        <b/>
      </font>
      <alignment vertical="center"/>
    </dxf>
    <dxf>
      <numFmt numFmtId="164" formatCode="0.0%"/>
      <alignment horizontal="right" vertical="center"/>
    </dxf>
    <dxf>
      <numFmt numFmtId="3" formatCode="#,##0"/>
      <alignment horizontal="right" vertical="center"/>
    </dxf>
    <dxf>
      <alignment vertical="center"/>
    </dxf>
    <dxf>
      <alignment vertical="center"/>
    </dxf>
    <dxf>
      <alignment vertical="center"/>
    </dxf>
    <dxf>
      <font>
        <b/>
      </font>
      <alignment vertical="center"/>
    </dxf>
    <dxf>
      <font>
        <b/>
        <color rgb="FF1F4E78"/>
      </font>
      <alignment horizontal="right" vertical="center"/>
    </dxf>
    <dxf>
      <alignment horizontal="right" vertical="center"/>
    </dxf>
    <dxf>
      <alignment horizontal="right" vertical="center"/>
    </dxf>
    <dxf>
      <alignment vertical="center"/>
    </dxf>
    <dxf>
      <alignment vertical="center"/>
    </dxf>
    <dxf>
      <alignment vertical="center"/>
    </dxf>
    <dxf>
      <numFmt numFmtId="14" formatCode="0.00%"/>
      <alignment horizontal="right" vertical="center"/>
    </dxf>
    <dxf>
      <numFmt numFmtId="3" formatCode="#,##0"/>
      <alignment horizontal="right" vertical="center"/>
    </dxf>
    <dxf>
      <numFmt numFmtId="3" formatCode="#,##0"/>
      <alignment horizontal="right" vertical="center"/>
    </dxf>
    <dxf>
      <alignment horizontal="left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center" textRotation="0" wrapText="1" indent="0" justifyLastLine="0" shrinkToFit="0" readingOrder="0"/>
    </dxf>
    <dxf>
      <alignment vertical="center"/>
    </dxf>
    <dxf>
      <font>
        <b/>
      </font>
      <alignment horizontal="center" vertical="center"/>
    </dxf>
    <dxf>
      <numFmt numFmtId="164" formatCode="0.0%"/>
      <alignment horizontal="right" vertical="center"/>
    </dxf>
    <dxf>
      <numFmt numFmtId="3" formatCode="#,##0"/>
      <alignment horizontal="right" vertical="center"/>
    </dxf>
    <dxf>
      <numFmt numFmtId="3" formatCode="#,##0"/>
      <alignment horizontal="right" vertical="center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0</xdr:rowOff>
    </xdr:from>
    <xdr:to>
      <xdr:col>5</xdr:col>
      <xdr:colOff>6229349</xdr:colOff>
      <xdr:row>23</xdr:row>
      <xdr:rowOff>78026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2BA485-7594-4B65-82B3-C70D0DF44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533775"/>
          <a:ext cx="6229349" cy="2192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1</xdr:row>
      <xdr:rowOff>66675</xdr:rowOff>
    </xdr:from>
    <xdr:to>
      <xdr:col>4</xdr:col>
      <xdr:colOff>353324</xdr:colOff>
      <xdr:row>20</xdr:row>
      <xdr:rowOff>76707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B3E2FB-982D-1034-4630-3A85884CF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257175"/>
          <a:ext cx="6439799" cy="362953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47625</xdr:rowOff>
    </xdr:from>
    <xdr:to>
      <xdr:col>8</xdr:col>
      <xdr:colOff>533400</xdr:colOff>
      <xdr:row>19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A3F5B3-78FF-C2AE-FD2C-FF6E4C010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809625"/>
          <a:ext cx="5143500" cy="2857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2</xdr:row>
      <xdr:rowOff>28575</xdr:rowOff>
    </xdr:from>
    <xdr:to>
      <xdr:col>10</xdr:col>
      <xdr:colOff>591446</xdr:colOff>
      <xdr:row>21</xdr:row>
      <xdr:rowOff>19554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ACF4E2-CD75-4348-0F41-97096D297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409575"/>
          <a:ext cx="6420746" cy="36104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17</xdr:row>
      <xdr:rowOff>114300</xdr:rowOff>
    </xdr:from>
    <xdr:to>
      <xdr:col>3</xdr:col>
      <xdr:colOff>1066800</xdr:colOff>
      <xdr:row>32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AF6A85-7995-5C39-7164-A239F0119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733800"/>
          <a:ext cx="5143500" cy="2857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104775</xdr:colOff>
      <xdr:row>0</xdr:row>
      <xdr:rowOff>180975</xdr:rowOff>
    </xdr:from>
    <xdr:to>
      <xdr:col>12</xdr:col>
      <xdr:colOff>635636</xdr:colOff>
      <xdr:row>31</xdr:row>
      <xdr:rowOff>107364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E12890-E83A-0734-ADE7-1981AC0C1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5" y="180975"/>
          <a:ext cx="4188461" cy="642243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372321</xdr:colOff>
      <xdr:row>36</xdr:row>
      <xdr:rowOff>142876</xdr:rowOff>
    </xdr:from>
    <xdr:to>
      <xdr:col>12</xdr:col>
      <xdr:colOff>2026552</xdr:colOff>
      <xdr:row>54</xdr:row>
      <xdr:rowOff>123826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DD0C2E-398A-6BD8-ACAD-45011724B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2446" y="7677151"/>
          <a:ext cx="5311831" cy="3409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174624</xdr:rowOff>
    </xdr:from>
    <xdr:to>
      <xdr:col>6</xdr:col>
      <xdr:colOff>317500</xdr:colOff>
      <xdr:row>58</xdr:row>
      <xdr:rowOff>1587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8A0BAA-220A-EF5E-7AAE-8DB50BA20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0062"/>
          <a:ext cx="5143500" cy="4867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267588</xdr:colOff>
      <xdr:row>18</xdr:row>
      <xdr:rowOff>95742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AD1B04-4216-B9F3-6A62-5E392CAE3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63588" cy="35247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1</xdr:row>
      <xdr:rowOff>19050</xdr:rowOff>
    </xdr:from>
    <xdr:to>
      <xdr:col>13</xdr:col>
      <xdr:colOff>266907</xdr:colOff>
      <xdr:row>23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78BC0B-B60A-2ED6-98A3-B5F24DA1F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209550"/>
          <a:ext cx="7724982" cy="42291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619CB7C-1AF8-402E-864C-9AC01EE260BD}" name="DemographicsHHTOnly" displayName="DemographicsHHTOnly" ref="G5:J19" totalsRowShown="0" headerRowDxfId="74" dataDxfId="73">
  <autoFilter ref="G5:J19" xr:uid="{1619CB7C-1AF8-402E-864C-9AC01EE260BD}"/>
  <tableColumns count="4">
    <tableColumn id="1" xr3:uid="{9002BDCF-2B0D-4147-B273-F229112B97FB}" name="Characteristic" dataDxfId="72"/>
    <tableColumn id="2" xr3:uid="{E1CA8B26-0FFD-442A-83AE-0817FCF9EF8E}" name="Non-HHT (n = 746,769)" dataDxfId="71"/>
    <tableColumn id="3" xr3:uid="{D204E7CB-DBB1-436F-9D56-3365ED1DE9AD}" name="HHT (n = 163)" dataDxfId="70"/>
    <tableColumn id="4" xr3:uid="{6D0DABE0-A133-4E03-AB67-073BB6592F90}" name="p value" dataDxfId="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129ACE-8913-462E-94DF-985AA928CDF9}" name="GeneticsDiagnosisVariant" displayName="GeneticsDiagnosisVariant" ref="A5:D8" totalsRowShown="0" headerRowDxfId="68" dataDxfId="67">
  <autoFilter ref="A5:D8" xr:uid="{FB129ACE-8913-462E-94DF-985AA928CDF9}"/>
  <tableColumns count="4">
    <tableColumn id="1" xr3:uid="{B15E20FF-BE20-47D4-9893-1252DFC036E8}" name="HHT diagnosis" dataDxfId="66"/>
    <tableColumn id="2" xr3:uid="{F4C0B42C-B5F8-4D14-89B1-F4123880C96A}" name="Qualifying variant" dataDxfId="65"/>
    <tableColumn id="3" xr3:uid="{20A54F33-F1BC-41D9-B428-8ABED30D95D1}" name="People" dataDxfId="64"/>
    <tableColumn id="4" xr3:uid="{DAA5BD24-8A26-4103-8492-C4643CE56021}" name="Cohort share" dataDxfId="6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266954-C6F2-46A5-86E5-D1F8F33C86C0}" name="GeneticsCarriersByGene" displayName="GeneticsCarriersByGene" ref="A11:B15" totalsRowShown="0" headerRowDxfId="62" dataDxfId="61">
  <autoFilter ref="A11:B15" xr:uid="{AA266954-C6F2-46A5-86E5-D1F8F33C86C0}"/>
  <tableColumns count="2">
    <tableColumn id="1" xr3:uid="{1802FAF2-E7A7-40A4-BF3A-5F9BEF6E33F2}" name="Gene" dataDxfId="60"/>
    <tableColumn id="2" xr3:uid="{9D444232-5076-4834-8B4C-CF5ED2857B25}" name="Carriers" dataDxfId="5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8EEB46-2E9C-4012-87AB-E25A70A89D76}" name="GeneticsDiagnosisGene" displayName="GeneticsDiagnosisGene" ref="A19:D27" totalsRowShown="0" headerRowDxfId="58" dataDxfId="57">
  <autoFilter ref="A19:D27" xr:uid="{2F8EEB46-2E9C-4012-87AB-E25A70A89D76}"/>
  <tableColumns count="4">
    <tableColumn id="1" xr3:uid="{D6C39A22-2D2A-4063-AE96-BCF1AFA4782F}" name="HHT diagnosis" dataDxfId="56"/>
    <tableColumn id="2" xr3:uid="{D6A9744B-784B-4FAD-B2E1-14DBD8F3A0FC}" name="Gene combination" dataDxfId="55"/>
    <tableColumn id="3" xr3:uid="{214441B7-0A6E-40B5-8C05-7D263BD59E4C}" name="People" dataDxfId="54"/>
    <tableColumn id="4" xr3:uid="{49DA8A09-E575-4CEB-A722-7C00695E047E}" name="Cohort share" dataDxfId="5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CD06C3-E7AF-4B9A-BC79-91F6648DFE17}" name="SymptomRates" displayName="SymptomRates" ref="A24:E38" totalsRowShown="0" headerRowDxfId="52" dataDxfId="51">
  <autoFilter ref="A24:E38" xr:uid="{4FCD06C3-E7AF-4B9A-BC79-91F6648DFE17}"/>
  <tableColumns count="5">
    <tableColumn id="1" xr3:uid="{67341C7E-5A58-4E23-8EB3-4FACD3A9BB35}" name="HHT status" dataDxfId="50"/>
    <tableColumn id="2" xr3:uid="{1E2AD601-E2F2-4164-AD85-4C407502BA5C}" name="Condition category" dataDxfId="49"/>
    <tableColumn id="3" xr3:uid="{F769C450-92D1-417F-BAED-744D138B7A74}" name="People" dataDxfId="48"/>
    <tableColumn id="4" xr3:uid="{7AFA1B54-5CF9-41F2-AAAB-61C808C12D6E}" name="Group size" dataDxfId="47"/>
    <tableColumn id="5" xr3:uid="{4954D461-3155-43F4-819B-3CCA84890134}" name="Rate" dataDxfId="46">
      <calculatedColumnFormula>C25/D25</calculatedColumnFormula>
    </tableColumn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A566F8-EFD0-4CDD-8500-BF82270C4D3D}" name="SymptomRatesAllGroups" displayName="SymptomRatesAllGroups" ref="G24:K51" totalsRowShown="0" headerRowDxfId="45" dataDxfId="44">
  <autoFilter ref="G24:K51" xr:uid="{A8A566F8-EFD0-4CDD-8500-BF82270C4D3D}"/>
  <tableColumns count="5">
    <tableColumn id="1" xr3:uid="{46084986-B051-4471-BFE7-D54761A791D9}" name="Study group" dataDxfId="43"/>
    <tableColumn id="2" xr3:uid="{1A2BF66D-1EA4-4DDA-94FD-204B576A8977}" name="Condition category" dataDxfId="42"/>
    <tableColumn id="3" xr3:uid="{EE513F1B-06FF-41F2-A96C-79E5B155505D}" name="People" dataDxfId="41"/>
    <tableColumn id="4" xr3:uid="{16716E37-945F-4FF0-9FAB-1ED36FDE3AE5}" name="Group size" dataDxfId="40"/>
    <tableColumn id="5" xr3:uid="{35357721-FAAB-4FB3-8CB3-21F352DD0174}" name="Rate" dataDxfId="39">
      <calculatedColumnFormula>I25/J25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998068A-2169-4EC7-AA68-D93AB5112923}" name="AgeFirstSymptom" displayName="AgeFirstSymptom" ref="A66:D75" totalsRowShown="0">
  <autoFilter ref="A66:D75" xr:uid="{9998068A-2169-4EC7-AA68-D93AB5112923}"/>
  <tableColumns count="4">
    <tableColumn id="1" xr3:uid="{44378B75-C8DF-4F05-BB8A-2560A39A04CE}" name="Condition category" dataDxfId="38"/>
    <tableColumn id="2" xr3:uid="{8527C760-9BB8-4B57-99B8-B52F555FDDEE}" name="n" dataDxfId="37"/>
    <tableColumn id="3" xr3:uid="{37E0D87A-AD4E-4E7C-ADC5-DB560B0CCBCF}" name="Median age" dataDxfId="36"/>
    <tableColumn id="4" xr3:uid="{10A2FDD1-7991-4396-B7F0-63613B574928}" name="Interquartile range" dataDxfId="3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122AE7-CA7C-41EC-B275-E27A4205E743}" name="ProcedureRates" displayName="ProcedureRates" ref="A5:E15" totalsRowShown="0" headerRowDxfId="88" dataDxfId="87">
  <autoFilter ref="A5:E15" xr:uid="{D0122AE7-CA7C-41EC-B275-E27A4205E743}"/>
  <tableColumns count="5">
    <tableColumn id="1" xr3:uid="{67151FE6-6A8E-4C1E-A58F-A7EA0C64B6C6}" name="Procedure category" dataDxfId="86"/>
    <tableColumn id="2" xr3:uid="{774DA2B9-883E-427E-A9DF-AF63B5D3FAEB}" name="HHT status" dataDxfId="85"/>
    <tableColumn id="3" xr3:uid="{5CF6BB6E-EAE1-4BA1-92E2-1BE5DC3F425D}" name="People" dataDxfId="84"/>
    <tableColumn id="4" xr3:uid="{30E8765B-7E43-4BE6-9638-183C7659DCBC}" name="Group size" dataDxfId="83"/>
    <tableColumn id="5" xr3:uid="{42BE1157-4698-4FD6-9F0B-3F5FCD210FDE}" name="Rate" dataDxfId="82">
      <calculatedColumnFormula>C6/D6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8CBCB1-0125-4D2F-9E2A-80BFB1B0407C}" name="ProcedureRatesAllGroups" displayName="ProcedureRatesAllGroups" ref="F18:J33" totalsRowShown="0" headerRowDxfId="81" dataDxfId="80">
  <autoFilter ref="F18:J33" xr:uid="{788CBCB1-0125-4D2F-9E2A-80BFB1B0407C}"/>
  <tableColumns count="5">
    <tableColumn id="1" xr3:uid="{0D85249E-4250-465C-B693-B48B94FE29AC}" name="Procedure category" dataDxfId="79"/>
    <tableColumn id="2" xr3:uid="{8D84078F-1E92-4203-8C64-B4131DB8C0B6}" name="Study group" dataDxfId="78"/>
    <tableColumn id="3" xr3:uid="{414B2F5F-7D8D-4A99-906F-4EDAE0EC9468}" name="People" dataDxfId="77"/>
    <tableColumn id="4" xr3:uid="{E864A834-5C05-4F89-AE45-72D9BEC7B257}" name="Group size" dataDxfId="76"/>
    <tableColumn id="5" xr3:uid="{66164ECB-8A9C-4F81-9358-A988FAFA0BA0}" name="Rate" dataDxfId="75">
      <calculatedColumnFormula>ProcedureRatesAllGroups[[#This Row],[People]]/ProcedureRatesAllGroups[[#This Row],[Group size]]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2F24C50-3CFF-403E-A375-11D34273C82B}" name="GeoEHRLinkage" displayName="GeoEHRLinkage" ref="M4:P7" totalsRowShown="0" headerRowDxfId="34" dataDxfId="33">
  <autoFilter ref="M4:P7" xr:uid="{82F24C50-3CFF-403E-A375-11D34273C82B}"/>
  <tableColumns count="4">
    <tableColumn id="1" xr3:uid="{FDC73929-C8C7-4684-99EE-D110A1ED2339}" name="Study group" dataDxfId="32"/>
    <tableColumn id="2" xr3:uid="{6B2E1AA7-E080-4231-88ED-687725B6B544}" name="Participants" dataDxfId="31"/>
    <tableColumn id="3" xr3:uid="{F7A72B2F-6CA8-4BC1-BF88-71F3C93D66F2}" name="Linked to EHR site" dataDxfId="30"/>
    <tableColumn id="4" xr3:uid="{F901C63E-9D0D-4BA8-B9F6-46A0C3DABAA4}" name="Linked (%)" dataDxfId="29">
      <calculatedColumnFormula>O5/N5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996D3C9-AAA4-46A4-B823-29311E544A94}" name="GeoSiteConcentration" displayName="GeoSiteConcentration" ref="M11:R14" totalsRowShown="0" headerRowDxfId="28" dataDxfId="27">
  <autoFilter ref="M11:R14" xr:uid="{1996D3C9-AAA4-46A4-B823-29311E544A94}"/>
  <tableColumns count="6">
    <tableColumn id="1" xr3:uid="{8BEA2F0C-F837-499F-A581-AD1C772265CD}" name="Study group" dataDxfId="26"/>
    <tableColumn id="2" xr3:uid="{843D2598-837D-48DD-995A-A662F2012D9B}" name="Linked participants" dataDxfId="25"/>
    <tableColumn id="3" xr3:uid="{B35459C8-3673-4110-AD2D-E115FB2FE3A6}" name="Distinct sites" dataDxfId="24"/>
    <tableColumn id="4" xr3:uid="{BA198A67-577B-42EB-9F34-01AF6EAF7C03}" name="Top site" dataDxfId="23"/>
    <tableColumn id="5" xr3:uid="{8E2D0898-A338-49B1-81DE-9BD849FC8F83}" name="Top-site share" dataDxfId="22"/>
    <tableColumn id="6" xr3:uid="{80C40526-3B22-4675-BDC7-1683C1BFE7D1}" name="HHI" dataDxfId="2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582D53-26FC-4B4E-9FBE-0ACCAC5E5AF2}" name="GeoTopSites" displayName="GeoTopSites" ref="M18:P34" totalsRowShown="0" headerRowDxfId="20" dataDxfId="19">
  <autoFilter ref="M18:P34" xr:uid="{51582D53-26FC-4B4E-9FBE-0ACCAC5E5AF2}"/>
  <tableColumns count="4">
    <tableColumn id="1" xr3:uid="{582C00A9-0A8F-47F6-88F4-2099951F49F2}" name="Study group" dataDxfId="18"/>
    <tableColumn id="2" xr3:uid="{9A74EB26-81E6-4351-ABEE-F7E96231BDC9}" name="Primary EHR site" dataDxfId="17"/>
    <tableColumn id="3" xr3:uid="{C8865574-FD7A-454F-90D9-2F5CB1CD7B06}" name="Participants" dataDxfId="16"/>
    <tableColumn id="4" xr3:uid="{C5F54A57-729D-4403-8877-65F2D9D43AEB}" name="Share of linked" dataDxfId="1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E6EFCE-F5DE-49ED-A604-D082FE610B6D}" name="GeoTopStates" displayName="GeoTopStates" ref="A2:D18" totalsRowShown="0" headerRowDxfId="14" dataDxfId="13">
  <autoFilter ref="A2:D18" xr:uid="{B2E6EFCE-F5DE-49ED-A604-D082FE610B6D}"/>
  <tableColumns count="4">
    <tableColumn id="1" xr3:uid="{BC87753A-E858-419A-AA61-B716C0008B35}" name="Study group" dataDxfId="12"/>
    <tableColumn id="2" xr3:uid="{0B63A728-90B4-4BCC-8BFA-ED4F91981326}" name="State" dataDxfId="11"/>
    <tableColumn id="3" xr3:uid="{0D2D8E79-7E4F-4DC1-BC53-BA71F1305630}" name="Participants" dataDxfId="10"/>
    <tableColumn id="4" xr3:uid="{7542A829-2C1D-4493-869D-53589FCB9222}" name="Share of group" dataDxfId="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FBC9343-0C0A-4E74-AEED-02AFF4ECFFE2}" name="GeoStateEnrichment" displayName="GeoStateEnrichment" ref="A22:F32" totalsRowShown="0" headerRowDxfId="8">
  <autoFilter ref="A22:F32" xr:uid="{6FBC9343-0C0A-4E74-AEED-02AFF4ECFFE2}"/>
  <tableColumns count="6">
    <tableColumn id="1" xr3:uid="{93C2C24D-8A01-4B49-B6C1-19234AC84090}" name="State" dataDxfId="2"/>
    <tableColumn id="2" xr3:uid="{56691552-F299-4FB8-ADF6-FEDD8C840DB4}" name="HHT participants" dataDxfId="7"/>
    <tableColumn id="3" xr3:uid="{70328255-E0E1-47A0-8EEB-B2D7713ED0D4}" name="HHT share" dataDxfId="5"/>
    <tableColumn id="4" xr3:uid="{54394108-CFD7-4C9B-B43C-87B48A0799FC}" name="AoU baseline participants" dataDxfId="6"/>
    <tableColumn id="5" xr3:uid="{B1A41690-88C1-4049-92BF-393D05B5BD65}" name="AoU baseline share" dataDxfId="4"/>
    <tableColumn id="6" xr3:uid="{7A93695B-D0CE-4B8A-A016-DFE2A7000FA2}" name="Enrichment ratio" dataDxfId="3">
      <calculatedColumnFormula>IFERROR(C23/E23,"—")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42E9-1EAC-4D11-A2DE-376145A0C63D}">
  <dimension ref="A1:D10"/>
  <sheetViews>
    <sheetView workbookViewId="0">
      <selection activeCell="B10" sqref="B10"/>
    </sheetView>
  </sheetViews>
  <sheetFormatPr defaultRowHeight="15" x14ac:dyDescent="0.25"/>
  <cols>
    <col min="1" max="1" width="22.7109375" customWidth="1"/>
    <col min="2" max="2" width="39.85546875" customWidth="1"/>
    <col min="3" max="3" width="59.42578125" customWidth="1"/>
  </cols>
  <sheetData>
    <row r="1" spans="1:4" x14ac:dyDescent="0.25">
      <c r="A1" s="1" t="s">
        <v>31</v>
      </c>
    </row>
    <row r="3" spans="1:4" ht="90.75" customHeight="1" x14ac:dyDescent="0.25">
      <c r="A3" t="s">
        <v>35</v>
      </c>
      <c r="B3" s="61" t="s">
        <v>92</v>
      </c>
      <c r="C3" s="61"/>
      <c r="D3" s="61"/>
    </row>
    <row r="4" spans="1:4" ht="47.25" customHeight="1" x14ac:dyDescent="0.25">
      <c r="A4" t="s">
        <v>73</v>
      </c>
      <c r="B4" s="11" t="s">
        <v>72</v>
      </c>
    </row>
    <row r="5" spans="1:4" ht="76.5" customHeight="1" x14ac:dyDescent="0.25">
      <c r="A5" t="s">
        <v>29</v>
      </c>
      <c r="B5" s="11" t="s">
        <v>91</v>
      </c>
      <c r="C5" s="11" t="s">
        <v>79</v>
      </c>
    </row>
    <row r="6" spans="1:4" ht="30" x14ac:dyDescent="0.25">
      <c r="A6" t="s">
        <v>30</v>
      </c>
      <c r="B6" s="11" t="s">
        <v>74</v>
      </c>
    </row>
    <row r="7" spans="1:4" ht="30" x14ac:dyDescent="0.25">
      <c r="A7" t="s">
        <v>75</v>
      </c>
      <c r="B7" s="11" t="s">
        <v>76</v>
      </c>
    </row>
    <row r="8" spans="1:4" ht="45" x14ac:dyDescent="0.25">
      <c r="B8" s="11" t="s">
        <v>77</v>
      </c>
    </row>
    <row r="9" spans="1:4" x14ac:dyDescent="0.25">
      <c r="B9" s="11" t="s">
        <v>78</v>
      </c>
    </row>
    <row r="10" spans="1:4" x14ac:dyDescent="0.25">
      <c r="B10" s="20" t="s">
        <v>80</v>
      </c>
    </row>
  </sheetData>
  <mergeCells count="1"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D13" sqref="D13"/>
    </sheetView>
  </sheetViews>
  <sheetFormatPr defaultRowHeight="15" x14ac:dyDescent="0.25"/>
  <cols>
    <col min="1" max="1" width="39" customWidth="1"/>
    <col min="2" max="2" width="34.28515625" customWidth="1"/>
    <col min="3" max="3" width="23.85546875" customWidth="1"/>
    <col min="4" max="4" width="12.42578125" customWidth="1"/>
    <col min="5" max="5" width="7.7109375" bestFit="1" customWidth="1"/>
    <col min="7" max="7" width="36.140625" customWidth="1"/>
    <col min="8" max="8" width="27.5703125" customWidth="1"/>
    <col min="9" max="9" width="21.85546875" customWidth="1"/>
    <col min="10" max="10" width="14.28515625" customWidth="1"/>
  </cols>
  <sheetData>
    <row r="1" spans="1:10" ht="27.95" customHeight="1" x14ac:dyDescent="0.25">
      <c r="A1" s="63" t="s">
        <v>0</v>
      </c>
      <c r="B1" s="63"/>
      <c r="C1" s="63"/>
      <c r="D1" s="63"/>
      <c r="E1" s="63"/>
    </row>
    <row r="2" spans="1:10" ht="19.5" x14ac:dyDescent="0.25">
      <c r="A2" s="64" t="s">
        <v>114</v>
      </c>
      <c r="B2" s="64"/>
      <c r="C2" s="64"/>
      <c r="D2" s="64"/>
      <c r="E2" s="64"/>
      <c r="G2" s="66" t="s">
        <v>216</v>
      </c>
      <c r="H2" s="66"/>
      <c r="I2" s="66"/>
      <c r="J2" s="66"/>
    </row>
    <row r="3" spans="1:10" ht="15.75" thickBot="1" x14ac:dyDescent="0.3">
      <c r="A3" s="2" t="s">
        <v>1</v>
      </c>
      <c r="B3" s="2" t="s">
        <v>115</v>
      </c>
      <c r="C3" s="2" t="s">
        <v>112</v>
      </c>
      <c r="D3" s="2" t="s">
        <v>113</v>
      </c>
      <c r="E3" s="2" t="s">
        <v>2</v>
      </c>
      <c r="G3" s="67" t="s">
        <v>191</v>
      </c>
      <c r="H3" s="67"/>
      <c r="I3" s="67"/>
      <c r="J3" s="67"/>
    </row>
    <row r="4" spans="1:10" x14ac:dyDescent="0.25">
      <c r="A4" s="3" t="s">
        <v>3</v>
      </c>
      <c r="B4" s="4" t="s">
        <v>116</v>
      </c>
      <c r="C4" s="4" t="s">
        <v>100</v>
      </c>
      <c r="D4" s="4" t="s">
        <v>101</v>
      </c>
      <c r="E4" s="5" t="s">
        <v>4</v>
      </c>
    </row>
    <row r="5" spans="1:10" x14ac:dyDescent="0.25">
      <c r="A5" s="6" t="s">
        <v>5</v>
      </c>
      <c r="B5" s="7"/>
      <c r="C5" s="7"/>
      <c r="D5" s="7"/>
      <c r="E5" s="7">
        <v>1E-3</v>
      </c>
      <c r="G5" s="12" t="s">
        <v>1</v>
      </c>
      <c r="H5" s="12" t="s">
        <v>192</v>
      </c>
      <c r="I5" s="12" t="s">
        <v>193</v>
      </c>
      <c r="J5" s="12" t="s">
        <v>2</v>
      </c>
    </row>
    <row r="6" spans="1:10" x14ac:dyDescent="0.25">
      <c r="A6" s="8" t="s">
        <v>6</v>
      </c>
      <c r="B6" s="4" t="s">
        <v>117</v>
      </c>
      <c r="C6" s="4" t="s">
        <v>102</v>
      </c>
      <c r="D6" s="4" t="s">
        <v>7</v>
      </c>
      <c r="E6" s="4"/>
      <c r="G6" s="12" t="s">
        <v>3</v>
      </c>
      <c r="H6" s="50" t="s">
        <v>194</v>
      </c>
      <c r="I6" s="50" t="s">
        <v>195</v>
      </c>
      <c r="J6" s="54" t="s">
        <v>4</v>
      </c>
    </row>
    <row r="7" spans="1:10" x14ac:dyDescent="0.25">
      <c r="A7" s="8" t="s">
        <v>8</v>
      </c>
      <c r="B7" s="4" t="s">
        <v>118</v>
      </c>
      <c r="C7" s="4" t="s">
        <v>103</v>
      </c>
      <c r="D7" s="4" t="s">
        <v>9</v>
      </c>
      <c r="E7" s="4"/>
      <c r="G7" s="51" t="s">
        <v>5</v>
      </c>
      <c r="H7" s="52"/>
      <c r="I7" s="52"/>
      <c r="J7" s="55">
        <v>5.0000000000000001E-3</v>
      </c>
    </row>
    <row r="8" spans="1:10" x14ac:dyDescent="0.25">
      <c r="A8" s="8" t="s">
        <v>10</v>
      </c>
      <c r="B8" s="4" t="s">
        <v>119</v>
      </c>
      <c r="C8" s="4" t="s">
        <v>104</v>
      </c>
      <c r="D8" s="4" t="s">
        <v>11</v>
      </c>
      <c r="E8" s="4"/>
      <c r="G8" s="53" t="s">
        <v>6</v>
      </c>
      <c r="H8" s="50" t="s">
        <v>196</v>
      </c>
      <c r="I8" s="50" t="s">
        <v>197</v>
      </c>
      <c r="J8" s="54"/>
    </row>
    <row r="9" spans="1:10" x14ac:dyDescent="0.25">
      <c r="A9" s="6" t="s">
        <v>12</v>
      </c>
      <c r="B9" s="7"/>
      <c r="C9" s="7"/>
      <c r="D9" s="7"/>
      <c r="E9" s="7" t="s">
        <v>4</v>
      </c>
      <c r="G9" s="53" t="s">
        <v>8</v>
      </c>
      <c r="H9" s="50" t="s">
        <v>198</v>
      </c>
      <c r="I9" s="50" t="s">
        <v>199</v>
      </c>
      <c r="J9" s="54"/>
    </row>
    <row r="10" spans="1:10" x14ac:dyDescent="0.25">
      <c r="A10" s="8" t="s">
        <v>18</v>
      </c>
      <c r="B10" s="4" t="s">
        <v>120</v>
      </c>
      <c r="C10" s="4" t="s">
        <v>105</v>
      </c>
      <c r="D10" s="4" t="s">
        <v>19</v>
      </c>
      <c r="E10" s="4"/>
      <c r="G10" s="53" t="s">
        <v>10</v>
      </c>
      <c r="H10" s="50" t="s">
        <v>200</v>
      </c>
      <c r="I10" s="50" t="s">
        <v>201</v>
      </c>
      <c r="J10" s="54"/>
    </row>
    <row r="11" spans="1:10" x14ac:dyDescent="0.25">
      <c r="A11" s="8" t="s">
        <v>15</v>
      </c>
      <c r="B11" s="4" t="s">
        <v>121</v>
      </c>
      <c r="C11" s="4" t="s">
        <v>106</v>
      </c>
      <c r="D11" s="4" t="s">
        <v>16</v>
      </c>
      <c r="E11" s="4"/>
      <c r="G11" s="51" t="s">
        <v>12</v>
      </c>
      <c r="H11" s="52"/>
      <c r="I11" s="52"/>
      <c r="J11" s="55">
        <v>1.6E-2</v>
      </c>
    </row>
    <row r="12" spans="1:10" x14ac:dyDescent="0.25">
      <c r="A12" s="8" t="s">
        <v>13</v>
      </c>
      <c r="B12" s="4" t="s">
        <v>122</v>
      </c>
      <c r="C12" s="4" t="s">
        <v>107</v>
      </c>
      <c r="D12" s="4" t="s">
        <v>14</v>
      </c>
      <c r="E12" s="4"/>
      <c r="G12" s="53" t="s">
        <v>13</v>
      </c>
      <c r="H12" s="50" t="s">
        <v>202</v>
      </c>
      <c r="I12" s="50" t="s">
        <v>203</v>
      </c>
      <c r="J12" s="54"/>
    </row>
    <row r="13" spans="1:10" x14ac:dyDescent="0.25">
      <c r="A13" s="8" t="s">
        <v>10</v>
      </c>
      <c r="B13" s="4" t="s">
        <v>123</v>
      </c>
      <c r="C13" s="4" t="s">
        <v>108</v>
      </c>
      <c r="D13" s="4" t="s">
        <v>17</v>
      </c>
      <c r="E13" s="4"/>
      <c r="G13" s="53" t="s">
        <v>15</v>
      </c>
      <c r="H13" s="50" t="s">
        <v>204</v>
      </c>
      <c r="I13" s="50" t="s">
        <v>205</v>
      </c>
      <c r="J13" s="54"/>
    </row>
    <row r="14" spans="1:10" x14ac:dyDescent="0.25">
      <c r="A14" s="6" t="s">
        <v>20</v>
      </c>
      <c r="B14" s="7"/>
      <c r="C14" s="7"/>
      <c r="D14" s="7"/>
      <c r="E14" s="7">
        <v>0.749</v>
      </c>
      <c r="G14" s="53" t="s">
        <v>10</v>
      </c>
      <c r="H14" s="50" t="s">
        <v>206</v>
      </c>
      <c r="I14" s="50" t="s">
        <v>207</v>
      </c>
      <c r="J14" s="54"/>
    </row>
    <row r="15" spans="1:10" x14ac:dyDescent="0.25">
      <c r="A15" s="8" t="s">
        <v>21</v>
      </c>
      <c r="B15" s="4" t="s">
        <v>124</v>
      </c>
      <c r="C15" s="4" t="s">
        <v>109</v>
      </c>
      <c r="D15" s="4" t="s">
        <v>22</v>
      </c>
      <c r="E15" s="4"/>
      <c r="G15" s="53" t="s">
        <v>18</v>
      </c>
      <c r="H15" s="50" t="s">
        <v>208</v>
      </c>
      <c r="I15" s="50" t="s">
        <v>209</v>
      </c>
      <c r="J15" s="54"/>
    </row>
    <row r="16" spans="1:10" x14ac:dyDescent="0.25">
      <c r="A16" s="8" t="s">
        <v>23</v>
      </c>
      <c r="B16" s="4" t="s">
        <v>125</v>
      </c>
      <c r="C16" s="4" t="s">
        <v>110</v>
      </c>
      <c r="D16" s="4" t="s">
        <v>24</v>
      </c>
      <c r="E16" s="4"/>
      <c r="G16" s="51" t="s">
        <v>20</v>
      </c>
      <c r="H16" s="52"/>
      <c r="I16" s="52"/>
      <c r="J16" s="55">
        <v>0.80700000000000005</v>
      </c>
    </row>
    <row r="17" spans="1:10" ht="15.75" thickBot="1" x14ac:dyDescent="0.3">
      <c r="A17" s="9" t="s">
        <v>10</v>
      </c>
      <c r="B17" s="10" t="s">
        <v>126</v>
      </c>
      <c r="C17" s="10" t="s">
        <v>111</v>
      </c>
      <c r="D17" s="10" t="s">
        <v>25</v>
      </c>
      <c r="E17" s="10"/>
      <c r="G17" s="53" t="s">
        <v>21</v>
      </c>
      <c r="H17" s="50" t="s">
        <v>210</v>
      </c>
      <c r="I17" s="50" t="s">
        <v>211</v>
      </c>
      <c r="J17" s="54"/>
    </row>
    <row r="18" spans="1:10" x14ac:dyDescent="0.25">
      <c r="A18" s="65" t="s">
        <v>26</v>
      </c>
      <c r="B18" s="65"/>
      <c r="C18" s="65"/>
      <c r="D18" s="65"/>
      <c r="E18" s="65"/>
      <c r="G18" s="53" t="s">
        <v>23</v>
      </c>
      <c r="H18" s="50" t="s">
        <v>212</v>
      </c>
      <c r="I18" s="50" t="s">
        <v>213</v>
      </c>
      <c r="J18" s="54"/>
    </row>
    <row r="19" spans="1:10" x14ac:dyDescent="0.25">
      <c r="A19" s="65" t="s">
        <v>27</v>
      </c>
      <c r="B19" s="65"/>
      <c r="C19" s="65"/>
      <c r="D19" s="65"/>
      <c r="E19" s="65"/>
      <c r="G19" s="53" t="s">
        <v>10</v>
      </c>
      <c r="H19" s="50" t="s">
        <v>214</v>
      </c>
      <c r="I19" s="50" t="s">
        <v>215</v>
      </c>
      <c r="J19" s="54"/>
    </row>
    <row r="21" spans="1:10" x14ac:dyDescent="0.25">
      <c r="A21" s="1" t="s">
        <v>28</v>
      </c>
      <c r="G21" s="62" t="s">
        <v>26</v>
      </c>
      <c r="H21" s="62"/>
      <c r="I21" s="62"/>
      <c r="J21" s="62"/>
    </row>
    <row r="23" spans="1:10" x14ac:dyDescent="0.25">
      <c r="H23" t="s">
        <v>138</v>
      </c>
    </row>
  </sheetData>
  <mergeCells count="7">
    <mergeCell ref="G21:J21"/>
    <mergeCell ref="A1:E1"/>
    <mergeCell ref="A2:E2"/>
    <mergeCell ref="A18:E18"/>
    <mergeCell ref="A19:E19"/>
    <mergeCell ref="G2:J2"/>
    <mergeCell ref="G3:J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D758-AEC6-4F12-9D20-498B3389F946}">
  <dimension ref="A1:F31"/>
  <sheetViews>
    <sheetView workbookViewId="0">
      <selection activeCell="F5" sqref="F5"/>
    </sheetView>
  </sheetViews>
  <sheetFormatPr defaultRowHeight="15" x14ac:dyDescent="0.25"/>
  <cols>
    <col min="1" max="2" width="28.5703125" customWidth="1"/>
    <col min="3" max="3" width="17.140625" customWidth="1"/>
    <col min="4" max="4" width="19" customWidth="1"/>
    <col min="6" max="6" width="101" customWidth="1"/>
  </cols>
  <sheetData>
    <row r="1" spans="1:6" ht="23.25" x14ac:dyDescent="0.25">
      <c r="A1" s="59" t="s">
        <v>36</v>
      </c>
      <c r="B1" s="59"/>
      <c r="C1" s="59"/>
      <c r="D1" s="59"/>
    </row>
    <row r="2" spans="1:6" ht="30" customHeight="1" x14ac:dyDescent="0.25">
      <c r="A2" s="60" t="s">
        <v>37</v>
      </c>
      <c r="B2" s="60"/>
      <c r="C2" s="60"/>
      <c r="D2" s="60"/>
    </row>
    <row r="4" spans="1:6" x14ac:dyDescent="0.25">
      <c r="A4" s="58" t="s">
        <v>38</v>
      </c>
      <c r="B4" s="58"/>
      <c r="C4" s="58"/>
      <c r="D4" s="58"/>
    </row>
    <row r="5" spans="1:6" x14ac:dyDescent="0.25">
      <c r="A5" s="16" t="s">
        <v>39</v>
      </c>
      <c r="B5" s="16" t="s">
        <v>40</v>
      </c>
      <c r="C5" s="16" t="s">
        <v>41</v>
      </c>
      <c r="D5" s="16" t="s">
        <v>42</v>
      </c>
    </row>
    <row r="6" spans="1:6" x14ac:dyDescent="0.25">
      <c r="A6" s="12" t="s">
        <v>43</v>
      </c>
      <c r="B6" s="12" t="s">
        <v>43</v>
      </c>
      <c r="C6" s="14">
        <v>38</v>
      </c>
      <c r="D6" s="15">
        <v>2.9000000000000001E-2</v>
      </c>
      <c r="F6" t="s">
        <v>93</v>
      </c>
    </row>
    <row r="7" spans="1:6" x14ac:dyDescent="0.25">
      <c r="A7" s="12" t="s">
        <v>43</v>
      </c>
      <c r="B7" s="12" t="s">
        <v>44</v>
      </c>
      <c r="C7" s="14">
        <v>222</v>
      </c>
      <c r="D7" s="15">
        <v>0.17</v>
      </c>
      <c r="F7" t="s">
        <v>94</v>
      </c>
    </row>
    <row r="8" spans="1:6" x14ac:dyDescent="0.25">
      <c r="A8" s="12" t="s">
        <v>44</v>
      </c>
      <c r="B8" s="12" t="s">
        <v>43</v>
      </c>
      <c r="C8" s="14">
        <v>1047</v>
      </c>
      <c r="D8" s="15">
        <v>0.80100000000000005</v>
      </c>
    </row>
    <row r="9" spans="1:6" x14ac:dyDescent="0.25">
      <c r="A9" s="12"/>
      <c r="B9" s="12"/>
      <c r="C9" s="12"/>
      <c r="D9" s="12"/>
    </row>
    <row r="10" spans="1:6" x14ac:dyDescent="0.25">
      <c r="A10" s="68" t="s">
        <v>45</v>
      </c>
      <c r="B10" s="68"/>
      <c r="C10" s="68"/>
      <c r="D10" s="68"/>
    </row>
    <row r="11" spans="1:6" x14ac:dyDescent="0.25">
      <c r="A11" s="16" t="s">
        <v>46</v>
      </c>
      <c r="B11" s="16" t="s">
        <v>47</v>
      </c>
      <c r="C11" s="12"/>
      <c r="D11" s="12" t="s">
        <v>56</v>
      </c>
    </row>
    <row r="12" spans="1:6" ht="75" x14ac:dyDescent="0.25">
      <c r="A12" s="12" t="s">
        <v>48</v>
      </c>
      <c r="B12" s="14">
        <v>794</v>
      </c>
      <c r="C12" s="12"/>
      <c r="D12" s="13">
        <f>SUM(GeneticsCarriersByGene[Carriers])</f>
        <v>1085</v>
      </c>
      <c r="F12" s="11" t="s">
        <v>131</v>
      </c>
    </row>
    <row r="13" spans="1:6" x14ac:dyDescent="0.25">
      <c r="A13" s="12" t="s">
        <v>49</v>
      </c>
      <c r="B13" s="14">
        <v>246</v>
      </c>
      <c r="C13" s="12"/>
      <c r="D13" s="12"/>
    </row>
    <row r="14" spans="1:6" x14ac:dyDescent="0.25">
      <c r="A14" s="12" t="s">
        <v>50</v>
      </c>
      <c r="B14" s="14">
        <v>9</v>
      </c>
      <c r="C14" s="12"/>
      <c r="D14" s="12"/>
    </row>
    <row r="15" spans="1:6" x14ac:dyDescent="0.25">
      <c r="A15" s="12" t="s">
        <v>51</v>
      </c>
      <c r="B15" s="14">
        <v>36</v>
      </c>
      <c r="C15" s="12"/>
      <c r="D15" s="12"/>
    </row>
    <row r="16" spans="1:6" ht="30" customHeight="1" x14ac:dyDescent="0.25">
      <c r="A16" s="69" t="s">
        <v>52</v>
      </c>
      <c r="B16" s="69"/>
      <c r="C16" s="69"/>
      <c r="D16" s="69"/>
    </row>
    <row r="17" spans="1:4" x14ac:dyDescent="0.25">
      <c r="A17" s="12"/>
      <c r="B17" s="12"/>
      <c r="C17" s="12"/>
      <c r="D17" s="12"/>
    </row>
    <row r="18" spans="1:4" x14ac:dyDescent="0.25">
      <c r="A18" s="68" t="s">
        <v>53</v>
      </c>
      <c r="B18" s="68"/>
      <c r="C18" s="68"/>
      <c r="D18" s="68"/>
    </row>
    <row r="19" spans="1:4" x14ac:dyDescent="0.25">
      <c r="A19" s="16" t="s">
        <v>39</v>
      </c>
      <c r="B19" s="16" t="s">
        <v>54</v>
      </c>
      <c r="C19" s="16" t="s">
        <v>41</v>
      </c>
      <c r="D19" s="16" t="s">
        <v>42</v>
      </c>
    </row>
    <row r="20" spans="1:4" x14ac:dyDescent="0.25">
      <c r="A20" s="12" t="s">
        <v>43</v>
      </c>
      <c r="B20" s="12" t="s">
        <v>55</v>
      </c>
      <c r="C20" s="14">
        <v>222</v>
      </c>
      <c r="D20" s="15">
        <v>0.17</v>
      </c>
    </row>
    <row r="21" spans="1:4" ht="16.5" customHeight="1" x14ac:dyDescent="0.25">
      <c r="A21" s="12" t="s">
        <v>43</v>
      </c>
      <c r="B21" s="12" t="s">
        <v>49</v>
      </c>
      <c r="C21" s="14">
        <v>22</v>
      </c>
      <c r="D21" s="15">
        <v>1.7000000000000001E-2</v>
      </c>
    </row>
    <row r="22" spans="1:4" x14ac:dyDescent="0.25">
      <c r="A22" s="12" t="s">
        <v>43</v>
      </c>
      <c r="B22" s="12" t="s">
        <v>48</v>
      </c>
      <c r="C22" s="14">
        <v>14</v>
      </c>
      <c r="D22" s="15">
        <v>1.0999999999999999E-2</v>
      </c>
    </row>
    <row r="23" spans="1:4" x14ac:dyDescent="0.25">
      <c r="A23" s="17" t="s">
        <v>43</v>
      </c>
      <c r="B23" s="17" t="s">
        <v>50</v>
      </c>
      <c r="C23" s="18">
        <v>2</v>
      </c>
      <c r="D23" s="19">
        <v>2E-3</v>
      </c>
    </row>
    <row r="24" spans="1:4" x14ac:dyDescent="0.25">
      <c r="A24" s="12" t="s">
        <v>44</v>
      </c>
      <c r="B24" s="12" t="s">
        <v>48</v>
      </c>
      <c r="C24" s="14">
        <v>780</v>
      </c>
      <c r="D24" s="15">
        <v>0.59699999999999998</v>
      </c>
    </row>
    <row r="25" spans="1:4" x14ac:dyDescent="0.25">
      <c r="A25" s="12" t="s">
        <v>44</v>
      </c>
      <c r="B25" s="12" t="s">
        <v>49</v>
      </c>
      <c r="C25" s="14">
        <v>224</v>
      </c>
      <c r="D25" s="15">
        <v>0.17100000000000001</v>
      </c>
    </row>
    <row r="26" spans="1:4" x14ac:dyDescent="0.25">
      <c r="A26" s="12" t="s">
        <v>44</v>
      </c>
      <c r="B26" s="12" t="s">
        <v>51</v>
      </c>
      <c r="C26" s="14">
        <v>36</v>
      </c>
      <c r="D26" s="15">
        <v>2.8000000000000001E-2</v>
      </c>
    </row>
    <row r="27" spans="1:4" x14ac:dyDescent="0.25">
      <c r="A27" s="12" t="s">
        <v>44</v>
      </c>
      <c r="B27" s="12" t="s">
        <v>50</v>
      </c>
      <c r="C27" s="14">
        <v>7</v>
      </c>
      <c r="D27" s="15">
        <v>5.0000000000000001E-3</v>
      </c>
    </row>
    <row r="30" spans="1:4" x14ac:dyDescent="0.25">
      <c r="A30" s="68" t="s">
        <v>132</v>
      </c>
      <c r="B30" s="68"/>
      <c r="C30" s="68"/>
      <c r="D30" s="68"/>
    </row>
    <row r="31" spans="1:4" x14ac:dyDescent="0.25">
      <c r="A31" t="s">
        <v>133</v>
      </c>
    </row>
  </sheetData>
  <mergeCells count="7">
    <mergeCell ref="A30:D30"/>
    <mergeCell ref="A18:D18"/>
    <mergeCell ref="A1:D1"/>
    <mergeCell ref="A2:D2"/>
    <mergeCell ref="A4:D4"/>
    <mergeCell ref="A10:D10"/>
    <mergeCell ref="A16:D16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318D-94F8-4AD7-A0FF-164965FB66D9}">
  <dimension ref="A9:M89"/>
  <sheetViews>
    <sheetView topLeftCell="A65" workbookViewId="0">
      <selection activeCell="D84" sqref="D84"/>
    </sheetView>
  </sheetViews>
  <sheetFormatPr defaultRowHeight="15" x14ac:dyDescent="0.25"/>
  <cols>
    <col min="1" max="1" width="42.85546875" customWidth="1"/>
    <col min="2" max="2" width="12.42578125" customWidth="1"/>
    <col min="3" max="3" width="17.140625" customWidth="1"/>
    <col min="4" max="4" width="23.85546875" customWidth="1"/>
    <col min="5" max="5" width="17.140625" customWidth="1"/>
    <col min="7" max="7" width="42.85546875" customWidth="1"/>
    <col min="8" max="9" width="17.140625" customWidth="1"/>
    <col min="10" max="10" width="19" customWidth="1"/>
    <col min="11" max="11" width="17.140625" customWidth="1"/>
    <col min="13" max="13" width="38.140625" customWidth="1"/>
  </cols>
  <sheetData>
    <row r="9" spans="13:13" x14ac:dyDescent="0.25">
      <c r="M9" t="s">
        <v>32</v>
      </c>
    </row>
    <row r="10" spans="13:13" x14ac:dyDescent="0.25">
      <c r="M10" t="s">
        <v>33</v>
      </c>
    </row>
    <row r="11" spans="13:13" x14ac:dyDescent="0.25">
      <c r="M11" s="1" t="s">
        <v>34</v>
      </c>
    </row>
    <row r="15" spans="13:13" x14ac:dyDescent="0.25">
      <c r="M15" t="s">
        <v>57</v>
      </c>
    </row>
    <row r="22" spans="1:11" ht="24" customHeight="1" x14ac:dyDescent="0.25">
      <c r="A22" s="75" t="s">
        <v>88</v>
      </c>
      <c r="B22" s="75"/>
      <c r="C22" s="75"/>
      <c r="D22" s="75"/>
      <c r="E22" s="75"/>
    </row>
    <row r="23" spans="1:11" ht="30" customHeight="1" x14ac:dyDescent="0.25">
      <c r="A23" s="60" t="s">
        <v>89</v>
      </c>
      <c r="B23" s="60"/>
      <c r="C23" s="60"/>
      <c r="D23" s="60"/>
      <c r="E23" s="60"/>
    </row>
    <row r="24" spans="1:11" x14ac:dyDescent="0.25">
      <c r="A24" s="12" t="s">
        <v>66</v>
      </c>
      <c r="B24" s="12" t="s">
        <v>90</v>
      </c>
      <c r="C24" s="12" t="s">
        <v>41</v>
      </c>
      <c r="D24" s="12" t="s">
        <v>68</v>
      </c>
      <c r="E24" s="12" t="s">
        <v>69</v>
      </c>
      <c r="G24" s="32" t="s">
        <v>130</v>
      </c>
      <c r="H24" s="32" t="s">
        <v>90</v>
      </c>
      <c r="I24" s="32" t="s">
        <v>41</v>
      </c>
      <c r="J24" s="32" t="s">
        <v>68</v>
      </c>
      <c r="K24" s="32" t="s">
        <v>69</v>
      </c>
    </row>
    <row r="25" spans="1:11" x14ac:dyDescent="0.25">
      <c r="A25" s="12" t="s">
        <v>70</v>
      </c>
      <c r="B25" s="12" t="s">
        <v>81</v>
      </c>
      <c r="C25" s="14">
        <v>164</v>
      </c>
      <c r="D25" s="14">
        <v>260</v>
      </c>
      <c r="E25" s="15">
        <f t="shared" ref="E25:E38" si="0">C25/D25</f>
        <v>0.63076923076923075</v>
      </c>
      <c r="G25" s="31" t="s">
        <v>96</v>
      </c>
      <c r="H25" s="31" t="s">
        <v>98</v>
      </c>
      <c r="I25" s="29">
        <v>155</v>
      </c>
      <c r="J25" s="29">
        <v>745722</v>
      </c>
      <c r="K25" s="30">
        <f>I25/J25</f>
        <v>2.0785225593451717E-4</v>
      </c>
    </row>
    <row r="26" spans="1:11" x14ac:dyDescent="0.25">
      <c r="A26" s="12" t="s">
        <v>71</v>
      </c>
      <c r="B26" s="12" t="s">
        <v>81</v>
      </c>
      <c r="C26" s="14">
        <v>212</v>
      </c>
      <c r="D26" s="14">
        <v>1047</v>
      </c>
      <c r="E26" s="15">
        <f t="shared" si="0"/>
        <v>0.20248328557784145</v>
      </c>
      <c r="G26" s="31" t="s">
        <v>97</v>
      </c>
      <c r="H26" s="31"/>
      <c r="I26" s="29">
        <v>0</v>
      </c>
      <c r="J26" s="29">
        <v>1047</v>
      </c>
      <c r="K26" s="30">
        <f>I26/J26</f>
        <v>0</v>
      </c>
    </row>
    <row r="27" spans="1:11" x14ac:dyDescent="0.25">
      <c r="A27" s="12" t="s">
        <v>70</v>
      </c>
      <c r="B27" s="12" t="s">
        <v>82</v>
      </c>
      <c r="C27" s="14">
        <v>14</v>
      </c>
      <c r="D27" s="14">
        <v>260</v>
      </c>
      <c r="E27" s="15">
        <f t="shared" si="0"/>
        <v>5.3846153846153849E-2</v>
      </c>
      <c r="G27" s="34" t="s">
        <v>39</v>
      </c>
      <c r="H27" s="34"/>
      <c r="I27" s="35">
        <v>8</v>
      </c>
      <c r="J27" s="35">
        <v>260</v>
      </c>
      <c r="K27" s="36">
        <f t="shared" ref="K27:K51" si="1">I27/J27</f>
        <v>3.0769230769230771E-2</v>
      </c>
    </row>
    <row r="28" spans="1:11" x14ac:dyDescent="0.25">
      <c r="A28" s="12" t="s">
        <v>71</v>
      </c>
      <c r="B28" s="12" t="s">
        <v>82</v>
      </c>
      <c r="C28" s="14">
        <v>1</v>
      </c>
      <c r="D28" s="14">
        <v>1047</v>
      </c>
      <c r="E28" s="15">
        <f t="shared" si="0"/>
        <v>9.5510983763132757E-4</v>
      </c>
      <c r="G28" s="31" t="s">
        <v>96</v>
      </c>
      <c r="H28" s="31" t="s">
        <v>81</v>
      </c>
      <c r="I28" s="29">
        <v>149827</v>
      </c>
      <c r="J28" s="29">
        <v>745722</v>
      </c>
      <c r="K28" s="30">
        <f t="shared" si="1"/>
        <v>0.2009153545154897</v>
      </c>
    </row>
    <row r="29" spans="1:11" x14ac:dyDescent="0.25">
      <c r="A29" s="12" t="s">
        <v>70</v>
      </c>
      <c r="B29" s="12" t="s">
        <v>83</v>
      </c>
      <c r="C29" s="14">
        <v>87</v>
      </c>
      <c r="D29" s="14">
        <v>260</v>
      </c>
      <c r="E29" s="15">
        <f t="shared" si="0"/>
        <v>0.33461538461538459</v>
      </c>
      <c r="G29" s="31" t="s">
        <v>97</v>
      </c>
      <c r="H29" s="31"/>
      <c r="I29" s="29">
        <v>238</v>
      </c>
      <c r="J29" s="29">
        <v>1047</v>
      </c>
      <c r="K29" s="30">
        <f t="shared" si="1"/>
        <v>0.22731614135625597</v>
      </c>
    </row>
    <row r="30" spans="1:11" x14ac:dyDescent="0.25">
      <c r="A30" s="12" t="s">
        <v>71</v>
      </c>
      <c r="B30" s="12" t="s">
        <v>83</v>
      </c>
      <c r="C30" s="14">
        <v>33</v>
      </c>
      <c r="D30" s="14">
        <v>1047</v>
      </c>
      <c r="E30" s="15">
        <f t="shared" si="0"/>
        <v>3.151862464183381E-2</v>
      </c>
      <c r="G30" s="34" t="s">
        <v>39</v>
      </c>
      <c r="H30" s="34"/>
      <c r="I30" s="35">
        <v>173</v>
      </c>
      <c r="J30" s="35">
        <v>260</v>
      </c>
      <c r="K30" s="36">
        <f t="shared" si="1"/>
        <v>0.66538461538461535</v>
      </c>
    </row>
    <row r="31" spans="1:11" x14ac:dyDescent="0.25">
      <c r="A31" s="12" t="s">
        <v>70</v>
      </c>
      <c r="B31" s="12" t="s">
        <v>84</v>
      </c>
      <c r="C31" s="14">
        <v>11</v>
      </c>
      <c r="D31" s="14">
        <v>260</v>
      </c>
      <c r="E31" s="15">
        <f t="shared" si="0"/>
        <v>4.230769230769231E-2</v>
      </c>
      <c r="G31" s="31" t="s">
        <v>96</v>
      </c>
      <c r="H31" s="31" t="s">
        <v>82</v>
      </c>
      <c r="I31" s="29">
        <v>1129</v>
      </c>
      <c r="J31" s="29">
        <v>745722</v>
      </c>
      <c r="K31" s="30">
        <f t="shared" si="1"/>
        <v>1.5139690125810959E-3</v>
      </c>
    </row>
    <row r="32" spans="1:11" x14ac:dyDescent="0.25">
      <c r="A32" s="12" t="s">
        <v>71</v>
      </c>
      <c r="B32" s="12" t="s">
        <v>84</v>
      </c>
      <c r="C32" s="14">
        <v>0</v>
      </c>
      <c r="D32" s="14">
        <v>1047</v>
      </c>
      <c r="E32" s="15">
        <f>C32/D32</f>
        <v>0</v>
      </c>
      <c r="G32" s="31" t="s">
        <v>97</v>
      </c>
      <c r="H32" s="31"/>
      <c r="I32" s="29">
        <v>1</v>
      </c>
      <c r="J32" s="29">
        <v>1047</v>
      </c>
      <c r="K32" s="30">
        <f t="shared" si="1"/>
        <v>9.5510983763132757E-4</v>
      </c>
    </row>
    <row r="33" spans="1:11" x14ac:dyDescent="0.25">
      <c r="A33" s="12" t="s">
        <v>70</v>
      </c>
      <c r="B33" s="12" t="s">
        <v>85</v>
      </c>
      <c r="C33" s="14">
        <v>67</v>
      </c>
      <c r="D33" s="14">
        <v>260</v>
      </c>
      <c r="E33" s="15">
        <f t="shared" si="0"/>
        <v>0.25769230769230766</v>
      </c>
      <c r="G33" s="34" t="s">
        <v>39</v>
      </c>
      <c r="H33" s="34"/>
      <c r="I33" s="35">
        <v>15</v>
      </c>
      <c r="J33" s="35">
        <v>260</v>
      </c>
      <c r="K33" s="36">
        <f t="shared" si="1"/>
        <v>5.7692307692307696E-2</v>
      </c>
    </row>
    <row r="34" spans="1:11" x14ac:dyDescent="0.25">
      <c r="A34" s="12" t="s">
        <v>71</v>
      </c>
      <c r="B34" s="12" t="s">
        <v>85</v>
      </c>
      <c r="C34" s="14">
        <v>62</v>
      </c>
      <c r="D34" s="14">
        <v>1047</v>
      </c>
      <c r="E34" s="15">
        <f t="shared" si="0"/>
        <v>5.9216809933142309E-2</v>
      </c>
      <c r="G34" s="31" t="s">
        <v>96</v>
      </c>
      <c r="H34" s="31" t="s">
        <v>83</v>
      </c>
      <c r="I34" s="29">
        <v>19068</v>
      </c>
      <c r="J34" s="29">
        <v>745722</v>
      </c>
      <c r="K34" s="30">
        <f t="shared" si="1"/>
        <v>2.5569850426834666E-2</v>
      </c>
    </row>
    <row r="35" spans="1:11" x14ac:dyDescent="0.25">
      <c r="A35" s="12" t="s">
        <v>70</v>
      </c>
      <c r="B35" s="12" t="s">
        <v>86</v>
      </c>
      <c r="C35" s="14">
        <v>1</v>
      </c>
      <c r="D35" s="14">
        <v>260</v>
      </c>
      <c r="E35" s="15">
        <f t="shared" si="0"/>
        <v>3.8461538461538464E-3</v>
      </c>
      <c r="G35" s="31" t="s">
        <v>97</v>
      </c>
      <c r="H35" s="31"/>
      <c r="I35" s="29">
        <v>41</v>
      </c>
      <c r="J35" s="29">
        <v>1047</v>
      </c>
      <c r="K35" s="30">
        <f t="shared" si="1"/>
        <v>3.9159503342884434E-2</v>
      </c>
    </row>
    <row r="36" spans="1:11" x14ac:dyDescent="0.25">
      <c r="A36" s="12" t="s">
        <v>71</v>
      </c>
      <c r="B36" s="12" t="s">
        <v>86</v>
      </c>
      <c r="C36" s="14">
        <v>3</v>
      </c>
      <c r="D36" s="14">
        <v>1047</v>
      </c>
      <c r="E36" s="15">
        <f t="shared" si="0"/>
        <v>2.8653295128939827E-3</v>
      </c>
      <c r="G36" s="34" t="s">
        <v>39</v>
      </c>
      <c r="H36" s="34"/>
      <c r="I36" s="35">
        <v>93</v>
      </c>
      <c r="J36" s="35">
        <v>260</v>
      </c>
      <c r="K36" s="36">
        <f t="shared" si="1"/>
        <v>0.3576923076923077</v>
      </c>
    </row>
    <row r="37" spans="1:11" x14ac:dyDescent="0.25">
      <c r="A37" s="12" t="s">
        <v>70</v>
      </c>
      <c r="B37" s="12" t="s">
        <v>87</v>
      </c>
      <c r="C37" s="14">
        <v>28</v>
      </c>
      <c r="D37" s="14">
        <v>260</v>
      </c>
      <c r="E37" s="15">
        <f t="shared" si="0"/>
        <v>0.1076923076923077</v>
      </c>
      <c r="G37" s="31" t="s">
        <v>96</v>
      </c>
      <c r="H37" s="31" t="s">
        <v>84</v>
      </c>
      <c r="I37" s="29">
        <v>235</v>
      </c>
      <c r="J37" s="29">
        <v>745722</v>
      </c>
      <c r="K37" s="30">
        <f t="shared" si="1"/>
        <v>3.1513083964265505E-4</v>
      </c>
    </row>
    <row r="38" spans="1:11" x14ac:dyDescent="0.25">
      <c r="A38" s="12" t="s">
        <v>71</v>
      </c>
      <c r="B38" s="12" t="s">
        <v>87</v>
      </c>
      <c r="C38" s="14">
        <v>1</v>
      </c>
      <c r="D38" s="14">
        <v>1047</v>
      </c>
      <c r="E38" s="15">
        <f t="shared" si="0"/>
        <v>9.5510983763132757E-4</v>
      </c>
      <c r="G38" s="31" t="s">
        <v>97</v>
      </c>
      <c r="H38" s="31"/>
      <c r="I38" s="29">
        <v>0</v>
      </c>
      <c r="J38" s="29">
        <v>1047</v>
      </c>
      <c r="K38" s="30">
        <f>I38/J38</f>
        <v>0</v>
      </c>
    </row>
    <row r="39" spans="1:11" x14ac:dyDescent="0.25">
      <c r="G39" s="34" t="s">
        <v>39</v>
      </c>
      <c r="H39" s="34"/>
      <c r="I39" s="35">
        <v>11</v>
      </c>
      <c r="J39" s="35">
        <v>260</v>
      </c>
      <c r="K39" s="36">
        <f t="shared" si="1"/>
        <v>4.230769230769231E-2</v>
      </c>
    </row>
    <row r="40" spans="1:11" x14ac:dyDescent="0.25">
      <c r="A40" t="s">
        <v>134</v>
      </c>
      <c r="G40" s="31" t="s">
        <v>96</v>
      </c>
      <c r="H40" s="31" t="s">
        <v>85</v>
      </c>
      <c r="I40" s="29">
        <v>57633</v>
      </c>
      <c r="J40" s="29">
        <v>745722</v>
      </c>
      <c r="K40" s="30">
        <f t="shared" si="1"/>
        <v>7.7284832685638891E-2</v>
      </c>
    </row>
    <row r="41" spans="1:11" x14ac:dyDescent="0.25">
      <c r="G41" s="31" t="s">
        <v>97</v>
      </c>
      <c r="H41" s="31"/>
      <c r="I41" s="29">
        <v>91</v>
      </c>
      <c r="J41" s="29">
        <v>1047</v>
      </c>
      <c r="K41" s="30">
        <f t="shared" si="1"/>
        <v>8.6914995224450814E-2</v>
      </c>
    </row>
    <row r="42" spans="1:11" x14ac:dyDescent="0.25">
      <c r="G42" s="34" t="s">
        <v>39</v>
      </c>
      <c r="H42" s="34"/>
      <c r="I42" s="35">
        <v>80</v>
      </c>
      <c r="J42" s="35">
        <v>260</v>
      </c>
      <c r="K42" s="36">
        <f t="shared" si="1"/>
        <v>0.30769230769230771</v>
      </c>
    </row>
    <row r="43" spans="1:11" ht="28.5" customHeight="1" x14ac:dyDescent="0.25">
      <c r="A43" s="33" t="s">
        <v>135</v>
      </c>
      <c r="G43" s="31" t="s">
        <v>96</v>
      </c>
      <c r="H43" s="31" t="s">
        <v>99</v>
      </c>
      <c r="I43" s="29">
        <v>5</v>
      </c>
      <c r="J43" s="29">
        <v>745722</v>
      </c>
      <c r="K43" s="30">
        <f t="shared" si="1"/>
        <v>6.7049114817586175E-6</v>
      </c>
    </row>
    <row r="44" spans="1:11" x14ac:dyDescent="0.25">
      <c r="A44" s="33" t="s">
        <v>136</v>
      </c>
      <c r="G44" s="31" t="s">
        <v>97</v>
      </c>
      <c r="H44" s="31"/>
      <c r="I44" s="29">
        <v>0</v>
      </c>
      <c r="J44" s="29">
        <v>1047</v>
      </c>
      <c r="K44" s="30">
        <f>I44/J44</f>
        <v>0</v>
      </c>
    </row>
    <row r="45" spans="1:11" ht="28.5" customHeight="1" x14ac:dyDescent="0.25">
      <c r="A45" s="33" t="s">
        <v>137</v>
      </c>
      <c r="G45" s="34" t="s">
        <v>39</v>
      </c>
      <c r="H45" s="34"/>
      <c r="I45" s="35">
        <v>2</v>
      </c>
      <c r="J45" s="35">
        <v>260</v>
      </c>
      <c r="K45" s="36">
        <f t="shared" si="1"/>
        <v>7.6923076923076927E-3</v>
      </c>
    </row>
    <row r="46" spans="1:11" x14ac:dyDescent="0.25">
      <c r="G46" s="31" t="s">
        <v>96</v>
      </c>
      <c r="H46" s="31" t="s">
        <v>86</v>
      </c>
      <c r="I46" s="29">
        <v>774</v>
      </c>
      <c r="J46" s="29">
        <v>745722</v>
      </c>
      <c r="K46" s="30">
        <f t="shared" si="1"/>
        <v>1.037920297376234E-3</v>
      </c>
    </row>
    <row r="47" spans="1:11" x14ac:dyDescent="0.25">
      <c r="G47" s="31" t="s">
        <v>97</v>
      </c>
      <c r="H47" s="31"/>
      <c r="I47" s="29">
        <v>5</v>
      </c>
      <c r="J47" s="29">
        <v>1047</v>
      </c>
      <c r="K47" s="30">
        <f t="shared" si="1"/>
        <v>4.7755491881566383E-3</v>
      </c>
    </row>
    <row r="48" spans="1:11" ht="19.5" x14ac:dyDescent="0.25">
      <c r="A48" s="76" t="s">
        <v>172</v>
      </c>
      <c r="B48" s="76"/>
      <c r="C48" s="76"/>
      <c r="D48" s="76"/>
      <c r="E48" s="76"/>
      <c r="G48" s="34" t="s">
        <v>39</v>
      </c>
      <c r="H48" s="34"/>
      <c r="I48" s="35">
        <v>14</v>
      </c>
      <c r="J48" s="35">
        <v>260</v>
      </c>
      <c r="K48" s="36">
        <f t="shared" si="1"/>
        <v>5.3846153846153849E-2</v>
      </c>
    </row>
    <row r="49" spans="1:12" x14ac:dyDescent="0.25">
      <c r="A49" s="72" t="s">
        <v>173</v>
      </c>
      <c r="B49" s="72"/>
      <c r="C49" s="72"/>
      <c r="D49" s="72"/>
      <c r="E49" s="72"/>
      <c r="G49" s="31" t="s">
        <v>96</v>
      </c>
      <c r="H49" s="31" t="s">
        <v>87</v>
      </c>
      <c r="I49" s="29">
        <v>112</v>
      </c>
      <c r="J49" s="29">
        <v>745722</v>
      </c>
      <c r="K49" s="30">
        <f t="shared" si="1"/>
        <v>1.5019001719139303E-4</v>
      </c>
    </row>
    <row r="50" spans="1:12" x14ac:dyDescent="0.25">
      <c r="A50" s="73" t="s">
        <v>90</v>
      </c>
      <c r="B50" s="73" t="s">
        <v>174</v>
      </c>
      <c r="C50" s="73"/>
      <c r="D50" s="73" t="s">
        <v>175</v>
      </c>
      <c r="E50" s="73"/>
      <c r="G50" s="31" t="s">
        <v>97</v>
      </c>
      <c r="H50" s="31"/>
      <c r="I50" s="29">
        <v>1</v>
      </c>
      <c r="J50" s="29">
        <v>1047</v>
      </c>
      <c r="K50" s="30">
        <f t="shared" si="1"/>
        <v>9.5510983763132757E-4</v>
      </c>
    </row>
    <row r="51" spans="1:12" x14ac:dyDescent="0.25">
      <c r="A51" s="74"/>
      <c r="B51" s="39" t="s">
        <v>41</v>
      </c>
      <c r="C51" s="39" t="s">
        <v>69</v>
      </c>
      <c r="D51" s="39" t="s">
        <v>41</v>
      </c>
      <c r="E51" s="39" t="s">
        <v>69</v>
      </c>
      <c r="G51" s="31" t="s">
        <v>39</v>
      </c>
      <c r="H51" s="31"/>
      <c r="I51" s="29">
        <v>31</v>
      </c>
      <c r="J51" s="29">
        <v>260</v>
      </c>
      <c r="K51" s="30">
        <f t="shared" si="1"/>
        <v>0.11923076923076924</v>
      </c>
    </row>
    <row r="52" spans="1:12" x14ac:dyDescent="0.25">
      <c r="A52" s="40" t="s">
        <v>98</v>
      </c>
      <c r="B52" s="41">
        <v>8</v>
      </c>
      <c r="C52" s="42">
        <f>B52/260</f>
        <v>3.0769230769230771E-2</v>
      </c>
      <c r="D52" s="41">
        <v>155</v>
      </c>
      <c r="E52" s="42">
        <f>D52/746769</f>
        <v>2.0756083876004495E-4</v>
      </c>
    </row>
    <row r="53" spans="1:12" x14ac:dyDescent="0.25">
      <c r="A53" s="43" t="s">
        <v>81</v>
      </c>
      <c r="B53" s="44">
        <v>173</v>
      </c>
      <c r="C53" s="45">
        <f t="shared" ref="C53:C60" si="2">B53/260</f>
        <v>0.66538461538461535</v>
      </c>
      <c r="D53" s="44">
        <v>150065</v>
      </c>
      <c r="E53" s="45">
        <f t="shared" ref="E53:E60" si="3">D53/746769</f>
        <v>0.20095236947436221</v>
      </c>
    </row>
    <row r="54" spans="1:12" x14ac:dyDescent="0.25">
      <c r="A54" s="43" t="s">
        <v>82</v>
      </c>
      <c r="B54" s="44">
        <v>15</v>
      </c>
      <c r="C54" s="45">
        <f t="shared" si="2"/>
        <v>5.7692307692307696E-2</v>
      </c>
      <c r="D54" s="44">
        <v>1130</v>
      </c>
      <c r="E54" s="45">
        <f t="shared" si="3"/>
        <v>1.5131854696700052E-3</v>
      </c>
    </row>
    <row r="55" spans="1:12" x14ac:dyDescent="0.25">
      <c r="A55" s="43" t="s">
        <v>83</v>
      </c>
      <c r="B55" s="44">
        <v>93</v>
      </c>
      <c r="C55" s="45">
        <f t="shared" si="2"/>
        <v>0.3576923076923077</v>
      </c>
      <c r="D55" s="44">
        <v>19109</v>
      </c>
      <c r="E55" s="45">
        <f t="shared" si="3"/>
        <v>2.558890366364967E-2</v>
      </c>
    </row>
    <row r="56" spans="1:12" ht="19.5" x14ac:dyDescent="0.25">
      <c r="A56" s="43" t="s">
        <v>84</v>
      </c>
      <c r="B56" s="44">
        <v>11</v>
      </c>
      <c r="C56" s="45">
        <f t="shared" si="2"/>
        <v>4.230769230769231E-2</v>
      </c>
      <c r="D56" s="44">
        <v>235</v>
      </c>
      <c r="E56" s="45">
        <f t="shared" si="3"/>
        <v>3.146890136039391E-4</v>
      </c>
      <c r="G56" s="66" t="s">
        <v>226</v>
      </c>
      <c r="H56" s="66"/>
      <c r="I56" s="66"/>
      <c r="J56" s="66"/>
      <c r="K56" s="66"/>
    </row>
    <row r="57" spans="1:12" x14ac:dyDescent="0.25">
      <c r="A57" s="43" t="s">
        <v>85</v>
      </c>
      <c r="B57" s="44">
        <v>80</v>
      </c>
      <c r="C57" s="45">
        <f t="shared" si="2"/>
        <v>0.30769230769230771</v>
      </c>
      <c r="D57" s="44">
        <v>57724</v>
      </c>
      <c r="E57" s="45">
        <f t="shared" si="3"/>
        <v>7.7298334558611834E-2</v>
      </c>
      <c r="G57" s="72" t="s">
        <v>227</v>
      </c>
      <c r="H57" s="72"/>
      <c r="I57" s="72"/>
      <c r="J57" s="72"/>
      <c r="K57" s="72"/>
    </row>
    <row r="58" spans="1:12" x14ac:dyDescent="0.25">
      <c r="A58" s="43" t="s">
        <v>99</v>
      </c>
      <c r="B58" s="44">
        <v>2</v>
      </c>
      <c r="C58" s="45">
        <f t="shared" si="2"/>
        <v>7.6923076923076927E-3</v>
      </c>
      <c r="D58" s="44">
        <v>5</v>
      </c>
      <c r="E58" s="45">
        <f t="shared" si="3"/>
        <v>6.6955109277433849E-6</v>
      </c>
    </row>
    <row r="59" spans="1:12" x14ac:dyDescent="0.25">
      <c r="A59" s="43" t="s">
        <v>86</v>
      </c>
      <c r="B59" s="44">
        <v>14</v>
      </c>
      <c r="C59" s="45">
        <f t="shared" si="2"/>
        <v>5.3846153846153849E-2</v>
      </c>
      <c r="D59" s="44">
        <v>779</v>
      </c>
      <c r="E59" s="45">
        <f t="shared" si="3"/>
        <v>1.0431606025424194E-3</v>
      </c>
      <c r="G59" s="73" t="s">
        <v>90</v>
      </c>
      <c r="H59" s="73" t="s">
        <v>228</v>
      </c>
      <c r="I59" s="73"/>
      <c r="J59" s="73" t="s">
        <v>175</v>
      </c>
      <c r="K59" s="73"/>
    </row>
    <row r="60" spans="1:12" x14ac:dyDescent="0.25">
      <c r="A60" s="46" t="s">
        <v>87</v>
      </c>
      <c r="B60" s="47">
        <v>31</v>
      </c>
      <c r="C60" s="48">
        <f t="shared" si="2"/>
        <v>0.11923076923076924</v>
      </c>
      <c r="D60" s="47">
        <v>113</v>
      </c>
      <c r="E60" s="48">
        <f t="shared" si="3"/>
        <v>1.513185469670005E-4</v>
      </c>
      <c r="G60" s="74"/>
      <c r="H60" s="39" t="s">
        <v>41</v>
      </c>
      <c r="I60" s="39" t="s">
        <v>69</v>
      </c>
      <c r="J60" s="39" t="s">
        <v>41</v>
      </c>
      <c r="K60" s="39" t="s">
        <v>69</v>
      </c>
      <c r="L60" s="39" t="s">
        <v>229</v>
      </c>
    </row>
    <row r="61" spans="1:12" x14ac:dyDescent="0.25">
      <c r="G61" s="40" t="s">
        <v>98</v>
      </c>
      <c r="H61" s="41">
        <v>7</v>
      </c>
      <c r="I61" s="42">
        <f>H61/163</f>
        <v>4.2944785276073622E-2</v>
      </c>
      <c r="J61" s="41">
        <v>155</v>
      </c>
      <c r="K61" s="42">
        <f>J61/746769</f>
        <v>2.0756083876004495E-4</v>
      </c>
      <c r="L61" t="s">
        <v>4</v>
      </c>
    </row>
    <row r="62" spans="1:12" x14ac:dyDescent="0.25">
      <c r="A62" s="77" t="s">
        <v>176</v>
      </c>
      <c r="B62" s="77"/>
      <c r="C62" s="77"/>
      <c r="D62" s="77"/>
      <c r="E62" s="77"/>
      <c r="G62" s="43" t="s">
        <v>81</v>
      </c>
      <c r="H62" s="44">
        <v>117</v>
      </c>
      <c r="I62" s="45">
        <f t="shared" ref="I62:I69" si="4">H62/163</f>
        <v>0.71779141104294475</v>
      </c>
      <c r="J62" s="44">
        <v>150065</v>
      </c>
      <c r="K62" s="45">
        <f t="shared" ref="K62:K69" si="5">J62/746769</f>
        <v>0.20095236947436221</v>
      </c>
      <c r="L62" t="s">
        <v>4</v>
      </c>
    </row>
    <row r="63" spans="1:12" x14ac:dyDescent="0.25">
      <c r="G63" s="43" t="s">
        <v>82</v>
      </c>
      <c r="H63" s="44">
        <v>14</v>
      </c>
      <c r="I63" s="45">
        <f t="shared" si="4"/>
        <v>8.5889570552147243E-2</v>
      </c>
      <c r="J63" s="44">
        <v>1130</v>
      </c>
      <c r="K63" s="45">
        <f t="shared" si="5"/>
        <v>1.5131854696700052E-3</v>
      </c>
      <c r="L63" t="s">
        <v>4</v>
      </c>
    </row>
    <row r="64" spans="1:12" ht="19.5" x14ac:dyDescent="0.25">
      <c r="A64" s="66" t="s">
        <v>177</v>
      </c>
      <c r="B64" s="66"/>
      <c r="C64" s="66"/>
      <c r="D64" s="66"/>
      <c r="G64" s="43" t="s">
        <v>83</v>
      </c>
      <c r="H64" s="44">
        <v>77</v>
      </c>
      <c r="I64" s="45">
        <f t="shared" si="4"/>
        <v>0.47239263803680981</v>
      </c>
      <c r="J64" s="44">
        <v>19109</v>
      </c>
      <c r="K64" s="45">
        <f t="shared" si="5"/>
        <v>2.558890366364967E-2</v>
      </c>
      <c r="L64" t="s">
        <v>4</v>
      </c>
    </row>
    <row r="65" spans="1:12" x14ac:dyDescent="0.25">
      <c r="A65" s="72" t="s">
        <v>179</v>
      </c>
      <c r="B65" s="72"/>
      <c r="C65" s="72"/>
      <c r="D65" s="72"/>
      <c r="G65" s="43" t="s">
        <v>84</v>
      </c>
      <c r="H65" s="44">
        <v>10</v>
      </c>
      <c r="I65" s="45">
        <f t="shared" si="4"/>
        <v>6.1349693251533742E-2</v>
      </c>
      <c r="J65" s="44">
        <v>235</v>
      </c>
      <c r="K65" s="45">
        <f t="shared" si="5"/>
        <v>3.146890136039391E-4</v>
      </c>
      <c r="L65" t="s">
        <v>4</v>
      </c>
    </row>
    <row r="66" spans="1:12" x14ac:dyDescent="0.25">
      <c r="A66" s="12" t="s">
        <v>90</v>
      </c>
      <c r="B66" s="12" t="s">
        <v>178</v>
      </c>
      <c r="C66" s="12" t="s">
        <v>180</v>
      </c>
      <c r="D66" s="12" t="s">
        <v>181</v>
      </c>
      <c r="G66" s="43" t="s">
        <v>85</v>
      </c>
      <c r="H66" s="44">
        <v>56</v>
      </c>
      <c r="I66" s="45">
        <f t="shared" si="4"/>
        <v>0.34355828220858897</v>
      </c>
      <c r="J66" s="44">
        <v>57724</v>
      </c>
      <c r="K66" s="45">
        <f t="shared" si="5"/>
        <v>7.7298334558611834E-2</v>
      </c>
      <c r="L66" t="s">
        <v>4</v>
      </c>
    </row>
    <row r="67" spans="1:12" x14ac:dyDescent="0.25">
      <c r="A67" s="12" t="s">
        <v>98</v>
      </c>
      <c r="B67" s="14">
        <v>8</v>
      </c>
      <c r="C67" s="49">
        <v>44.481859999999998</v>
      </c>
      <c r="D67" s="50" t="s">
        <v>182</v>
      </c>
      <c r="G67" s="43" t="s">
        <v>99</v>
      </c>
      <c r="H67" s="44">
        <v>2</v>
      </c>
      <c r="I67" s="45">
        <f t="shared" si="4"/>
        <v>1.2269938650306749E-2</v>
      </c>
      <c r="J67" s="44">
        <v>5</v>
      </c>
      <c r="K67" s="45">
        <f t="shared" si="5"/>
        <v>6.6955109277433849E-6</v>
      </c>
      <c r="L67" t="s">
        <v>4</v>
      </c>
    </row>
    <row r="68" spans="1:12" x14ac:dyDescent="0.25">
      <c r="A68" s="12" t="s">
        <v>81</v>
      </c>
      <c r="B68" s="14">
        <v>173</v>
      </c>
      <c r="C68" s="49">
        <v>55.682409999999997</v>
      </c>
      <c r="D68" s="50" t="s">
        <v>183</v>
      </c>
      <c r="G68" s="43" t="s">
        <v>86</v>
      </c>
      <c r="H68" s="44">
        <v>13</v>
      </c>
      <c r="I68" s="45">
        <f t="shared" si="4"/>
        <v>7.9754601226993863E-2</v>
      </c>
      <c r="J68" s="44">
        <v>779</v>
      </c>
      <c r="K68" s="45">
        <f t="shared" si="5"/>
        <v>1.0431606025424194E-3</v>
      </c>
      <c r="L68" t="s">
        <v>4</v>
      </c>
    </row>
    <row r="69" spans="1:12" x14ac:dyDescent="0.25">
      <c r="A69" s="12" t="s">
        <v>82</v>
      </c>
      <c r="B69" s="14">
        <v>15</v>
      </c>
      <c r="C69" s="49">
        <v>52.98836</v>
      </c>
      <c r="D69" s="50" t="s">
        <v>184</v>
      </c>
      <c r="G69" s="46" t="s">
        <v>87</v>
      </c>
      <c r="H69" s="47">
        <v>29</v>
      </c>
      <c r="I69" s="48">
        <f t="shared" si="4"/>
        <v>0.17791411042944785</v>
      </c>
      <c r="J69" s="47">
        <v>113</v>
      </c>
      <c r="K69" s="48">
        <f t="shared" si="5"/>
        <v>1.513185469670005E-4</v>
      </c>
      <c r="L69" t="s">
        <v>4</v>
      </c>
    </row>
    <row r="70" spans="1:12" x14ac:dyDescent="0.25">
      <c r="A70" s="12" t="s">
        <v>83</v>
      </c>
      <c r="B70" s="14">
        <v>93</v>
      </c>
      <c r="C70" s="49">
        <v>55.282679999999999</v>
      </c>
      <c r="D70" s="50" t="s">
        <v>185</v>
      </c>
    </row>
    <row r="71" spans="1:12" x14ac:dyDescent="0.25">
      <c r="A71" s="12" t="s">
        <v>84</v>
      </c>
      <c r="B71" s="14">
        <v>11</v>
      </c>
      <c r="C71" s="49">
        <v>62.658450000000002</v>
      </c>
      <c r="D71" s="50" t="s">
        <v>186</v>
      </c>
    </row>
    <row r="72" spans="1:12" x14ac:dyDescent="0.25">
      <c r="A72" s="12" t="s">
        <v>85</v>
      </c>
      <c r="B72" s="14">
        <v>80</v>
      </c>
      <c r="C72" s="49">
        <v>54.058860000000003</v>
      </c>
      <c r="D72" s="50" t="s">
        <v>187</v>
      </c>
    </row>
    <row r="73" spans="1:12" x14ac:dyDescent="0.25">
      <c r="A73" s="12" t="s">
        <v>99</v>
      </c>
      <c r="B73" s="14">
        <v>2</v>
      </c>
      <c r="C73" s="49">
        <v>64.39425</v>
      </c>
      <c r="D73" s="50" t="s">
        <v>188</v>
      </c>
    </row>
    <row r="74" spans="1:12" x14ac:dyDescent="0.25">
      <c r="A74" s="12" t="s">
        <v>86</v>
      </c>
      <c r="B74" s="14">
        <v>14</v>
      </c>
      <c r="C74" s="49">
        <v>61.215609999999998</v>
      </c>
      <c r="D74" s="50" t="s">
        <v>189</v>
      </c>
    </row>
    <row r="75" spans="1:12" x14ac:dyDescent="0.25">
      <c r="A75" s="12" t="s">
        <v>87</v>
      </c>
      <c r="B75" s="14">
        <v>31</v>
      </c>
      <c r="C75" s="49">
        <v>53.691989999999997</v>
      </c>
      <c r="D75" s="50" t="s">
        <v>190</v>
      </c>
    </row>
    <row r="77" spans="1:12" x14ac:dyDescent="0.25">
      <c r="A77" s="1" t="s">
        <v>233</v>
      </c>
    </row>
    <row r="78" spans="1:12" x14ac:dyDescent="0.25">
      <c r="A78" s="70" t="s">
        <v>234</v>
      </c>
      <c r="B78" s="71"/>
      <c r="C78" s="71"/>
      <c r="D78" s="71"/>
      <c r="E78" s="71"/>
      <c r="F78" s="71"/>
    </row>
    <row r="79" spans="1:12" ht="28.5" x14ac:dyDescent="0.25">
      <c r="A79" s="56" t="s">
        <v>217</v>
      </c>
      <c r="B79" s="56" t="s">
        <v>218</v>
      </c>
      <c r="C79" s="56" t="s">
        <v>178</v>
      </c>
      <c r="D79" s="56" t="s">
        <v>230</v>
      </c>
      <c r="E79" s="56" t="s">
        <v>231</v>
      </c>
      <c r="F79" s="56" t="s">
        <v>232</v>
      </c>
    </row>
    <row r="80" spans="1:12" x14ac:dyDescent="0.25">
      <c r="A80" s="56" t="s">
        <v>222</v>
      </c>
      <c r="B80" s="56" t="s">
        <v>223</v>
      </c>
      <c r="C80" s="56" t="s">
        <v>224</v>
      </c>
      <c r="D80" s="56" t="s">
        <v>225</v>
      </c>
      <c r="E80" s="56" t="s">
        <v>225</v>
      </c>
      <c r="F80" s="56" t="s">
        <v>225</v>
      </c>
    </row>
    <row r="81" spans="1:6" ht="42.75" x14ac:dyDescent="0.25">
      <c r="A81" s="57" t="b">
        <v>1</v>
      </c>
      <c r="B81" s="57" t="s">
        <v>98</v>
      </c>
      <c r="C81" s="57">
        <v>7</v>
      </c>
      <c r="D81" s="57">
        <v>40</v>
      </c>
      <c r="E81" s="57">
        <v>31</v>
      </c>
      <c r="F81" s="57">
        <v>50.5</v>
      </c>
    </row>
    <row r="82" spans="1:6" ht="28.5" x14ac:dyDescent="0.25">
      <c r="A82" s="57" t="b">
        <v>1</v>
      </c>
      <c r="B82" s="57" t="s">
        <v>81</v>
      </c>
      <c r="C82" s="57">
        <v>117</v>
      </c>
      <c r="D82" s="57">
        <v>55</v>
      </c>
      <c r="E82" s="57">
        <v>41</v>
      </c>
      <c r="F82" s="57">
        <v>65</v>
      </c>
    </row>
    <row r="83" spans="1:6" ht="28.5" x14ac:dyDescent="0.25">
      <c r="A83" s="57" t="b">
        <v>1</v>
      </c>
      <c r="B83" s="57" t="s">
        <v>82</v>
      </c>
      <c r="C83" s="57">
        <v>14</v>
      </c>
      <c r="D83" s="57">
        <v>53.5</v>
      </c>
      <c r="E83" s="57">
        <v>41</v>
      </c>
      <c r="F83" s="57">
        <v>65.25</v>
      </c>
    </row>
    <row r="84" spans="1:6" x14ac:dyDescent="0.25">
      <c r="A84" s="57" t="b">
        <v>1</v>
      </c>
      <c r="B84" s="57" t="s">
        <v>83</v>
      </c>
      <c r="C84" s="57">
        <v>77</v>
      </c>
      <c r="D84" s="57">
        <v>54</v>
      </c>
      <c r="E84" s="57">
        <v>40</v>
      </c>
      <c r="F84" s="57">
        <v>62</v>
      </c>
    </row>
    <row r="85" spans="1:6" x14ac:dyDescent="0.25">
      <c r="A85" s="57" t="b">
        <v>1</v>
      </c>
      <c r="B85" s="57" t="s">
        <v>84</v>
      </c>
      <c r="C85" s="57">
        <v>10</v>
      </c>
      <c r="D85" s="57">
        <v>60.5</v>
      </c>
      <c r="E85" s="57">
        <v>52.75</v>
      </c>
      <c r="F85" s="57">
        <v>66.5</v>
      </c>
    </row>
    <row r="86" spans="1:6" x14ac:dyDescent="0.25">
      <c r="A86" s="57" t="b">
        <v>1</v>
      </c>
      <c r="B86" s="57" t="s">
        <v>85</v>
      </c>
      <c r="C86" s="57">
        <v>56</v>
      </c>
      <c r="D86" s="57">
        <v>55.5</v>
      </c>
      <c r="E86" s="57">
        <v>41.75</v>
      </c>
      <c r="F86" s="57">
        <v>65.5</v>
      </c>
    </row>
    <row r="87" spans="1:6" x14ac:dyDescent="0.25">
      <c r="A87" s="57" t="b">
        <v>1</v>
      </c>
      <c r="B87" s="57" t="s">
        <v>99</v>
      </c>
      <c r="C87" s="57">
        <v>2</v>
      </c>
      <c r="D87" s="57">
        <v>64</v>
      </c>
      <c r="E87" s="57">
        <v>63.5</v>
      </c>
      <c r="F87" s="57">
        <v>64.5</v>
      </c>
    </row>
    <row r="88" spans="1:6" ht="42.75" x14ac:dyDescent="0.25">
      <c r="A88" s="57" t="b">
        <v>1</v>
      </c>
      <c r="B88" s="57" t="s">
        <v>86</v>
      </c>
      <c r="C88" s="57">
        <v>13</v>
      </c>
      <c r="D88" s="57">
        <v>62</v>
      </c>
      <c r="E88" s="57">
        <v>34</v>
      </c>
      <c r="F88" s="57">
        <v>66</v>
      </c>
    </row>
    <row r="89" spans="1:6" ht="28.5" x14ac:dyDescent="0.25">
      <c r="A89" s="57" t="b">
        <v>1</v>
      </c>
      <c r="B89" s="57" t="s">
        <v>87</v>
      </c>
      <c r="C89" s="57">
        <v>29</v>
      </c>
      <c r="D89" s="57">
        <v>52</v>
      </c>
      <c r="E89" s="57">
        <v>43</v>
      </c>
      <c r="F89" s="57">
        <v>66</v>
      </c>
    </row>
  </sheetData>
  <mergeCells count="16">
    <mergeCell ref="A22:E22"/>
    <mergeCell ref="A23:E23"/>
    <mergeCell ref="A49:E49"/>
    <mergeCell ref="A48:E48"/>
    <mergeCell ref="A50:A51"/>
    <mergeCell ref="B50:C50"/>
    <mergeCell ref="D50:E50"/>
    <mergeCell ref="A78:F78"/>
    <mergeCell ref="G56:K56"/>
    <mergeCell ref="G57:K57"/>
    <mergeCell ref="G59:G60"/>
    <mergeCell ref="H59:I59"/>
    <mergeCell ref="J59:K59"/>
    <mergeCell ref="A64:D64"/>
    <mergeCell ref="A65:D65"/>
    <mergeCell ref="A62:E62"/>
  </mergeCells>
  <conditionalFormatting sqref="C52:C6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{FD3C487D-D4AB-4070-A4DE-D769C3346DD0}</x14:id>
        </ext>
      </extLst>
    </cfRule>
  </conditionalFormatting>
  <conditionalFormatting sqref="E25:E3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{2A83CE59-F640-4451-A8F3-5A1C3DF76847}</x14:id>
        </ext>
      </extLst>
    </cfRule>
  </conditionalFormatting>
  <conditionalFormatting sqref="E52:E6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{71C20FF8-507C-4BB4-827E-992DD727A6E6}</x14:id>
        </ext>
      </extLst>
    </cfRule>
  </conditionalFormatting>
  <conditionalFormatting sqref="I61:I6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{7BE0D3D4-D6EB-4CC2-B23C-C71793ECCE73}</x14:id>
        </ext>
      </extLst>
    </cfRule>
  </conditionalFormatting>
  <conditionalFormatting sqref="K61:K6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{4AA119DD-618B-43A8-9349-8A13A13E7BF9}</x14:id>
        </ext>
      </extLst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3C487D-D4AB-4070-A4DE-D769C3346DD0}">
            <x14:dataBar minLength="0" maxLength="100" negativeBarColorSameAsPositive="1" axisPosition="none">
              <x14:cfvo type="min"/>
              <x14:cfvo type="max"/>
            </x14:dataBar>
          </x14:cfRule>
          <xm:sqref>C52:C60</xm:sqref>
        </x14:conditionalFormatting>
        <x14:conditionalFormatting xmlns:xm="http://schemas.microsoft.com/office/excel/2006/main">
          <x14:cfRule type="dataBar" id="{2A83CE59-F640-4451-A8F3-5A1C3DF76847}">
            <x14:dataBar minLength="0" maxLength="100" negativeBarColorSameAsPositive="1" axisPosition="none">
              <x14:cfvo type="min"/>
              <x14:cfvo type="max"/>
            </x14:dataBar>
          </x14:cfRule>
          <xm:sqref>E25:E38</xm:sqref>
        </x14:conditionalFormatting>
        <x14:conditionalFormatting xmlns:xm="http://schemas.microsoft.com/office/excel/2006/main">
          <x14:cfRule type="dataBar" id="{71C20FF8-507C-4BB4-827E-992DD727A6E6}">
            <x14:dataBar minLength="0" maxLength="100" negativeBarColorSameAsPositive="1" axisPosition="none">
              <x14:cfvo type="min"/>
              <x14:cfvo type="max"/>
            </x14:dataBar>
          </x14:cfRule>
          <xm:sqref>E52:E60</xm:sqref>
        </x14:conditionalFormatting>
        <x14:conditionalFormatting xmlns:xm="http://schemas.microsoft.com/office/excel/2006/main">
          <x14:cfRule type="dataBar" id="{7BE0D3D4-D6EB-4CC2-B23C-C71793ECCE73}">
            <x14:dataBar minLength="0" maxLength="100" negativeBarColorSameAsPositive="1" axisPosition="none">
              <x14:cfvo type="min"/>
              <x14:cfvo type="max"/>
            </x14:dataBar>
          </x14:cfRule>
          <xm:sqref>I61:I69</xm:sqref>
        </x14:conditionalFormatting>
        <x14:conditionalFormatting xmlns:xm="http://schemas.microsoft.com/office/excel/2006/main">
          <x14:cfRule type="dataBar" id="{4AA119DD-618B-43A8-9349-8A13A13E7BF9}">
            <x14:dataBar minLength="0" maxLength="100" negativeBarColorSameAsPositive="1" axisPosition="none">
              <x14:cfvo type="min"/>
              <x14:cfvo type="max"/>
            </x14:dataBar>
          </x14:cfRule>
          <xm:sqref>K61:K69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314D-E8DA-49D3-9011-322F521FBA90}">
  <dimension ref="A1"/>
  <sheetViews>
    <sheetView workbookViewId="0">
      <selection activeCell="Q12" sqref="Q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0120-29BF-4112-A28F-EA06B323EA95}">
  <dimension ref="A1:M47"/>
  <sheetViews>
    <sheetView topLeftCell="A31" workbookViewId="0">
      <selection activeCell="F41" sqref="F41"/>
    </sheetView>
  </sheetViews>
  <sheetFormatPr defaultRowHeight="15" x14ac:dyDescent="0.25"/>
  <cols>
    <col min="1" max="1" width="38.28515625" customWidth="1"/>
    <col min="2" max="2" width="13.85546875" customWidth="1"/>
    <col min="3" max="3" width="9.5703125" customWidth="1"/>
    <col min="4" max="4" width="19" customWidth="1"/>
    <col min="5" max="5" width="17.140625" customWidth="1"/>
    <col min="6" max="6" width="38.140625" customWidth="1"/>
    <col min="7" max="7" width="40" customWidth="1"/>
    <col min="8" max="8" width="13.28515625" customWidth="1"/>
    <col min="9" max="9" width="15.28515625" customWidth="1"/>
    <col min="10" max="10" width="12.42578125" customWidth="1"/>
  </cols>
  <sheetData>
    <row r="1" spans="1:13" ht="30" customHeight="1" x14ac:dyDescent="0.25">
      <c r="A1" s="59" t="s">
        <v>63</v>
      </c>
      <c r="B1" s="59"/>
      <c r="C1" s="59"/>
      <c r="D1" s="59"/>
      <c r="E1" s="59"/>
    </row>
    <row r="2" spans="1:13" ht="30" customHeight="1" x14ac:dyDescent="0.25">
      <c r="A2" s="60" t="s">
        <v>64</v>
      </c>
      <c r="B2" s="60"/>
      <c r="C2" s="60"/>
      <c r="D2" s="60"/>
      <c r="E2" s="60"/>
    </row>
    <row r="4" spans="1:13" x14ac:dyDescent="0.25">
      <c r="A4" s="58" t="s">
        <v>65</v>
      </c>
      <c r="B4" s="58"/>
      <c r="C4" s="58"/>
      <c r="D4" s="58"/>
      <c r="E4" s="58"/>
    </row>
    <row r="5" spans="1:13" x14ac:dyDescent="0.25">
      <c r="A5" s="12" t="s">
        <v>67</v>
      </c>
      <c r="B5" s="12" t="s">
        <v>66</v>
      </c>
      <c r="C5" s="12" t="s">
        <v>41</v>
      </c>
      <c r="D5" s="12" t="s">
        <v>68</v>
      </c>
      <c r="E5" s="12" t="s">
        <v>69</v>
      </c>
    </row>
    <row r="6" spans="1:13" x14ac:dyDescent="0.25">
      <c r="A6" s="12" t="s">
        <v>58</v>
      </c>
      <c r="B6" s="12" t="s">
        <v>70</v>
      </c>
      <c r="C6" s="14">
        <v>1</v>
      </c>
      <c r="D6" s="14">
        <v>260</v>
      </c>
      <c r="E6" s="15">
        <f t="shared" ref="E6:E15" si="0">C6/D6</f>
        <v>3.8461538461538464E-3</v>
      </c>
    </row>
    <row r="7" spans="1:13" x14ac:dyDescent="0.25">
      <c r="A7" s="12"/>
      <c r="B7" s="12" t="s">
        <v>71</v>
      </c>
      <c r="C7" s="14">
        <v>0</v>
      </c>
      <c r="D7" s="14">
        <v>1047</v>
      </c>
      <c r="E7" s="15">
        <f>C7/D7</f>
        <v>0</v>
      </c>
    </row>
    <row r="8" spans="1:13" x14ac:dyDescent="0.25">
      <c r="A8" s="12" t="s">
        <v>59</v>
      </c>
      <c r="B8" s="12" t="s">
        <v>70</v>
      </c>
      <c r="C8" s="14">
        <v>24</v>
      </c>
      <c r="D8" s="14">
        <v>260</v>
      </c>
      <c r="E8" s="15">
        <f t="shared" si="0"/>
        <v>9.2307692307692313E-2</v>
      </c>
    </row>
    <row r="9" spans="1:13" x14ac:dyDescent="0.25">
      <c r="A9" s="12"/>
      <c r="B9" s="12" t="s">
        <v>71</v>
      </c>
      <c r="C9" s="14">
        <v>10</v>
      </c>
      <c r="D9" s="14">
        <v>1047</v>
      </c>
      <c r="E9" s="15">
        <f t="shared" si="0"/>
        <v>9.5510983763132766E-3</v>
      </c>
    </row>
    <row r="10" spans="1:13" x14ac:dyDescent="0.25">
      <c r="A10" s="12" t="s">
        <v>60</v>
      </c>
      <c r="B10" s="12" t="s">
        <v>70</v>
      </c>
      <c r="C10" s="14">
        <v>69</v>
      </c>
      <c r="D10" s="14">
        <v>260</v>
      </c>
      <c r="E10" s="15">
        <f t="shared" si="0"/>
        <v>0.26538461538461539</v>
      </c>
    </row>
    <row r="11" spans="1:13" x14ac:dyDescent="0.25">
      <c r="A11" s="12"/>
      <c r="B11" s="12" t="s">
        <v>71</v>
      </c>
      <c r="C11" s="14">
        <v>89</v>
      </c>
      <c r="D11" s="14">
        <v>1047</v>
      </c>
      <c r="E11" s="15">
        <f t="shared" si="0"/>
        <v>8.5004775549188158E-2</v>
      </c>
    </row>
    <row r="12" spans="1:13" x14ac:dyDescent="0.25">
      <c r="A12" s="12" t="s">
        <v>61</v>
      </c>
      <c r="B12" s="12" t="s">
        <v>70</v>
      </c>
      <c r="C12" s="14">
        <v>14</v>
      </c>
      <c r="D12" s="14">
        <v>260</v>
      </c>
      <c r="E12" s="15">
        <f t="shared" si="0"/>
        <v>5.3846153846153849E-2</v>
      </c>
    </row>
    <row r="13" spans="1:13" x14ac:dyDescent="0.25">
      <c r="A13" s="12"/>
      <c r="B13" s="12" t="s">
        <v>71</v>
      </c>
      <c r="C13" s="14">
        <v>1</v>
      </c>
      <c r="D13" s="14">
        <v>1047</v>
      </c>
      <c r="E13" s="15">
        <f t="shared" si="0"/>
        <v>9.5510983763132757E-4</v>
      </c>
    </row>
    <row r="14" spans="1:13" x14ac:dyDescent="0.25">
      <c r="A14" s="12" t="s">
        <v>62</v>
      </c>
      <c r="B14" s="12" t="s">
        <v>70</v>
      </c>
      <c r="C14" s="14">
        <v>4</v>
      </c>
      <c r="D14" s="14">
        <v>260</v>
      </c>
      <c r="E14" s="15">
        <f t="shared" si="0"/>
        <v>1.5384615384615385E-2</v>
      </c>
    </row>
    <row r="15" spans="1:13" ht="27.95" customHeight="1" x14ac:dyDescent="0.25">
      <c r="A15" s="12"/>
      <c r="B15" s="12" t="s">
        <v>71</v>
      </c>
      <c r="C15" s="14">
        <v>5</v>
      </c>
      <c r="D15" s="14">
        <v>1047</v>
      </c>
      <c r="E15" s="15">
        <f t="shared" si="0"/>
        <v>4.7755491881566383E-3</v>
      </c>
      <c r="F15" s="59" t="s">
        <v>127</v>
      </c>
      <c r="G15" s="59"/>
      <c r="H15" s="59"/>
      <c r="I15" s="59"/>
      <c r="J15" s="59"/>
    </row>
    <row r="16" spans="1:13" x14ac:dyDescent="0.25">
      <c r="F16" s="60" t="s">
        <v>128</v>
      </c>
      <c r="G16" s="60"/>
      <c r="H16" s="60"/>
      <c r="I16" s="60"/>
      <c r="J16" s="60"/>
      <c r="M16" t="s">
        <v>95</v>
      </c>
    </row>
    <row r="17" spans="6:10" ht="20.100000000000001" customHeight="1" x14ac:dyDescent="0.25">
      <c r="F17" s="58" t="s">
        <v>129</v>
      </c>
      <c r="G17" s="58"/>
      <c r="H17" s="58"/>
      <c r="I17" s="58"/>
      <c r="J17" s="58"/>
    </row>
    <row r="18" spans="6:10" x14ac:dyDescent="0.25">
      <c r="F18" s="27" t="s">
        <v>67</v>
      </c>
      <c r="G18" s="26" t="s">
        <v>130</v>
      </c>
      <c r="H18" s="28" t="s">
        <v>41</v>
      </c>
      <c r="I18" s="28" t="s">
        <v>68</v>
      </c>
      <c r="J18" s="28" t="s">
        <v>69</v>
      </c>
    </row>
    <row r="19" spans="6:10" x14ac:dyDescent="0.25">
      <c r="F19" s="22" t="s">
        <v>58</v>
      </c>
      <c r="G19" s="25" t="s">
        <v>96</v>
      </c>
      <c r="H19" s="14">
        <v>56</v>
      </c>
      <c r="I19" s="14">
        <v>745722</v>
      </c>
      <c r="J19" s="21">
        <f>ProcedureRatesAllGroups[[#This Row],[People]]/ProcedureRatesAllGroups[[#This Row],[Group size]]</f>
        <v>7.5095008595696514E-5</v>
      </c>
    </row>
    <row r="20" spans="6:10" x14ac:dyDescent="0.25">
      <c r="F20" s="22"/>
      <c r="G20" s="24" t="s">
        <v>97</v>
      </c>
      <c r="H20" s="14">
        <v>0</v>
      </c>
      <c r="I20" s="14">
        <v>1047</v>
      </c>
      <c r="J20" s="21">
        <f>ProcedureRatesAllGroups[[#This Row],[People]]/ProcedureRatesAllGroups[[#This Row],[Group size]]</f>
        <v>0</v>
      </c>
    </row>
    <row r="21" spans="6:10" x14ac:dyDescent="0.25">
      <c r="F21" s="22"/>
      <c r="G21" s="23" t="s">
        <v>39</v>
      </c>
      <c r="H21" s="14">
        <v>1</v>
      </c>
      <c r="I21" s="14">
        <v>260</v>
      </c>
      <c r="J21" s="21">
        <f>ProcedureRatesAllGroups[[#This Row],[People]]/ProcedureRatesAllGroups[[#This Row],[Group size]]</f>
        <v>3.8461538461538464E-3</v>
      </c>
    </row>
    <row r="22" spans="6:10" x14ac:dyDescent="0.25">
      <c r="F22" s="22" t="s">
        <v>59</v>
      </c>
      <c r="G22" s="25" t="s">
        <v>96</v>
      </c>
      <c r="H22" s="14">
        <v>4040</v>
      </c>
      <c r="I22" s="14">
        <v>745722</v>
      </c>
      <c r="J22" s="21">
        <f>ProcedureRatesAllGroups[[#This Row],[People]]/ProcedureRatesAllGroups[[#This Row],[Group size]]</f>
        <v>5.4175684772609636E-3</v>
      </c>
    </row>
    <row r="23" spans="6:10" x14ac:dyDescent="0.25">
      <c r="F23" s="22"/>
      <c r="G23" s="23" t="s">
        <v>97</v>
      </c>
      <c r="H23" s="14">
        <v>10</v>
      </c>
      <c r="I23" s="14">
        <v>1047</v>
      </c>
      <c r="J23" s="21">
        <f>ProcedureRatesAllGroups[[#This Row],[People]]/ProcedureRatesAllGroups[[#This Row],[Group size]]</f>
        <v>9.5510983763132766E-3</v>
      </c>
    </row>
    <row r="24" spans="6:10" x14ac:dyDescent="0.25">
      <c r="F24" s="22"/>
      <c r="G24" s="25" t="s">
        <v>39</v>
      </c>
      <c r="H24" s="14">
        <v>24</v>
      </c>
      <c r="I24" s="14">
        <v>260</v>
      </c>
      <c r="J24" s="21">
        <f>ProcedureRatesAllGroups[[#This Row],[People]]/ProcedureRatesAllGroups[[#This Row],[Group size]]</f>
        <v>9.2307692307692313E-2</v>
      </c>
    </row>
    <row r="25" spans="6:10" x14ac:dyDescent="0.25">
      <c r="F25" s="22" t="s">
        <v>60</v>
      </c>
      <c r="G25" s="23" t="s">
        <v>96</v>
      </c>
      <c r="H25" s="14">
        <v>53335</v>
      </c>
      <c r="I25" s="14">
        <v>745722</v>
      </c>
      <c r="J25" s="21">
        <f>ProcedureRatesAllGroups[[#This Row],[People]]/ProcedureRatesAllGroups[[#This Row],[Group size]]</f>
        <v>7.1521290775919177E-2</v>
      </c>
    </row>
    <row r="26" spans="6:10" x14ac:dyDescent="0.25">
      <c r="F26" s="22"/>
      <c r="G26" s="25" t="s">
        <v>97</v>
      </c>
      <c r="H26" s="14">
        <v>89</v>
      </c>
      <c r="I26" s="14">
        <v>1047</v>
      </c>
      <c r="J26" s="21">
        <f>ProcedureRatesAllGroups[[#This Row],[People]]/ProcedureRatesAllGroups[[#This Row],[Group size]]</f>
        <v>8.5004775549188158E-2</v>
      </c>
    </row>
    <row r="27" spans="6:10" x14ac:dyDescent="0.25">
      <c r="F27" s="22"/>
      <c r="G27" s="23" t="s">
        <v>39</v>
      </c>
      <c r="H27" s="14">
        <v>68</v>
      </c>
      <c r="I27" s="14">
        <v>260</v>
      </c>
      <c r="J27" s="21">
        <f>ProcedureRatesAllGroups[[#This Row],[People]]/ProcedureRatesAllGroups[[#This Row],[Group size]]</f>
        <v>0.26153846153846155</v>
      </c>
    </row>
    <row r="28" spans="6:10" x14ac:dyDescent="0.25">
      <c r="F28" s="22" t="s">
        <v>61</v>
      </c>
      <c r="G28" s="25" t="s">
        <v>96</v>
      </c>
      <c r="H28" s="14">
        <v>1911</v>
      </c>
      <c r="I28" s="14">
        <v>745722</v>
      </c>
      <c r="J28" s="21">
        <f>ProcedureRatesAllGroups[[#This Row],[People]]/ProcedureRatesAllGroups[[#This Row],[Group size]]</f>
        <v>2.5626171683281436E-3</v>
      </c>
    </row>
    <row r="29" spans="6:10" x14ac:dyDescent="0.25">
      <c r="F29" s="22"/>
      <c r="G29" s="23" t="s">
        <v>97</v>
      </c>
      <c r="H29" s="14">
        <v>1</v>
      </c>
      <c r="I29" s="14">
        <v>1047</v>
      </c>
      <c r="J29" s="21">
        <f>ProcedureRatesAllGroups[[#This Row],[People]]/ProcedureRatesAllGroups[[#This Row],[Group size]]</f>
        <v>9.5510983763132757E-4</v>
      </c>
    </row>
    <row r="30" spans="6:10" x14ac:dyDescent="0.25">
      <c r="F30" s="22"/>
      <c r="G30" s="25" t="s">
        <v>39</v>
      </c>
      <c r="H30" s="14">
        <v>14</v>
      </c>
      <c r="I30" s="14">
        <v>260</v>
      </c>
      <c r="J30" s="21">
        <f>ProcedureRatesAllGroups[[#This Row],[People]]/ProcedureRatesAllGroups[[#This Row],[Group size]]</f>
        <v>5.3846153846153849E-2</v>
      </c>
    </row>
    <row r="31" spans="6:10" x14ac:dyDescent="0.25">
      <c r="F31" s="22" t="s">
        <v>62</v>
      </c>
      <c r="G31" s="23" t="s">
        <v>96</v>
      </c>
      <c r="H31" s="14">
        <v>4011</v>
      </c>
      <c r="I31" s="14">
        <v>745722</v>
      </c>
      <c r="J31" s="21">
        <f>ProcedureRatesAllGroups[[#This Row],[People]]/ProcedureRatesAllGroups[[#This Row],[Group size]]</f>
        <v>5.378679990666763E-3</v>
      </c>
    </row>
    <row r="32" spans="6:10" x14ac:dyDescent="0.25">
      <c r="F32" s="22"/>
      <c r="G32" s="25" t="s">
        <v>97</v>
      </c>
      <c r="H32" s="14">
        <v>5</v>
      </c>
      <c r="I32" s="14">
        <v>1047</v>
      </c>
      <c r="J32" s="21">
        <f>ProcedureRatesAllGroups[[#This Row],[People]]/ProcedureRatesAllGroups[[#This Row],[Group size]]</f>
        <v>4.7755491881566383E-3</v>
      </c>
    </row>
    <row r="33" spans="1:10" x14ac:dyDescent="0.25">
      <c r="F33" s="22"/>
      <c r="G33" s="23" t="s">
        <v>39</v>
      </c>
      <c r="H33" s="14">
        <v>6</v>
      </c>
      <c r="I33" s="14">
        <v>260</v>
      </c>
      <c r="J33" s="21">
        <f>ProcedureRatesAllGroups[[#This Row],[People]]/ProcedureRatesAllGroups[[#This Row],[Group size]]</f>
        <v>2.3076923076923078E-2</v>
      </c>
    </row>
    <row r="35" spans="1:10" x14ac:dyDescent="0.25">
      <c r="A35" s="1" t="s">
        <v>236</v>
      </c>
    </row>
    <row r="36" spans="1:10" ht="28.5" x14ac:dyDescent="0.25">
      <c r="A36" s="56" t="s">
        <v>217</v>
      </c>
      <c r="B36" s="56" t="s">
        <v>235</v>
      </c>
      <c r="C36" s="56" t="s">
        <v>219</v>
      </c>
      <c r="D36" s="56" t="s">
        <v>220</v>
      </c>
      <c r="E36" s="56" t="s">
        <v>221</v>
      </c>
    </row>
    <row r="37" spans="1:10" x14ac:dyDescent="0.25">
      <c r="A37" s="56" t="s">
        <v>222</v>
      </c>
      <c r="B37" s="56" t="s">
        <v>223</v>
      </c>
      <c r="C37" s="56" t="s">
        <v>224</v>
      </c>
      <c r="D37" s="56" t="s">
        <v>224</v>
      </c>
      <c r="E37" s="56" t="s">
        <v>225</v>
      </c>
    </row>
    <row r="38" spans="1:10" ht="42.75" x14ac:dyDescent="0.25">
      <c r="A38" s="57" t="b">
        <v>1</v>
      </c>
      <c r="B38" s="57" t="s">
        <v>58</v>
      </c>
      <c r="C38" s="57">
        <v>1</v>
      </c>
      <c r="D38" s="57">
        <v>163</v>
      </c>
      <c r="E38" s="57">
        <v>0.6</v>
      </c>
    </row>
    <row r="39" spans="1:10" ht="42.75" x14ac:dyDescent="0.25">
      <c r="A39" s="57" t="b">
        <v>0</v>
      </c>
      <c r="B39" s="57" t="s">
        <v>58</v>
      </c>
      <c r="C39" s="57">
        <v>56</v>
      </c>
      <c r="D39" s="57">
        <v>746769</v>
      </c>
      <c r="E39" s="57">
        <v>0</v>
      </c>
    </row>
    <row r="40" spans="1:10" ht="28.5" x14ac:dyDescent="0.25">
      <c r="A40" s="57" t="b">
        <v>1</v>
      </c>
      <c r="B40" s="57" t="s">
        <v>59</v>
      </c>
      <c r="C40" s="57">
        <v>21</v>
      </c>
      <c r="D40" s="57">
        <v>163</v>
      </c>
      <c r="E40" s="57">
        <v>12.9</v>
      </c>
    </row>
    <row r="41" spans="1:10" ht="28.5" x14ac:dyDescent="0.25">
      <c r="A41" s="57" t="b">
        <v>0</v>
      </c>
      <c r="B41" s="57" t="s">
        <v>59</v>
      </c>
      <c r="C41" s="57">
        <v>4050</v>
      </c>
      <c r="D41" s="57">
        <v>746769</v>
      </c>
      <c r="E41" s="57">
        <v>0.5</v>
      </c>
    </row>
    <row r="42" spans="1:10" ht="42.75" x14ac:dyDescent="0.25">
      <c r="A42" s="57" t="b">
        <v>1</v>
      </c>
      <c r="B42" s="57" t="s">
        <v>60</v>
      </c>
      <c r="C42" s="57">
        <v>48</v>
      </c>
      <c r="D42" s="57">
        <v>163</v>
      </c>
      <c r="E42" s="57">
        <v>29.4</v>
      </c>
    </row>
    <row r="43" spans="1:10" ht="42.75" x14ac:dyDescent="0.25">
      <c r="A43" s="57" t="b">
        <v>0</v>
      </c>
      <c r="B43" s="57" t="s">
        <v>60</v>
      </c>
      <c r="C43" s="57">
        <v>53424</v>
      </c>
      <c r="D43" s="57">
        <v>746769</v>
      </c>
      <c r="E43" s="57">
        <v>7.2</v>
      </c>
    </row>
    <row r="44" spans="1:10" ht="57" x14ac:dyDescent="0.25">
      <c r="A44" s="57" t="b">
        <v>1</v>
      </c>
      <c r="B44" s="57" t="s">
        <v>61</v>
      </c>
      <c r="C44" s="57">
        <v>12</v>
      </c>
      <c r="D44" s="57">
        <v>163</v>
      </c>
      <c r="E44" s="57">
        <v>7.4</v>
      </c>
    </row>
    <row r="45" spans="1:10" ht="57" x14ac:dyDescent="0.25">
      <c r="A45" s="57" t="b">
        <v>0</v>
      </c>
      <c r="B45" s="57" t="s">
        <v>61</v>
      </c>
      <c r="C45" s="57">
        <v>1912</v>
      </c>
      <c r="D45" s="57">
        <v>746769</v>
      </c>
      <c r="E45" s="57">
        <v>0.3</v>
      </c>
    </row>
    <row r="46" spans="1:10" x14ac:dyDescent="0.25">
      <c r="A46" s="57" t="b">
        <v>1</v>
      </c>
      <c r="B46" s="57" t="s">
        <v>62</v>
      </c>
      <c r="C46" s="57">
        <v>4</v>
      </c>
      <c r="D46" s="57">
        <v>163</v>
      </c>
      <c r="E46" s="57">
        <v>2.5</v>
      </c>
    </row>
    <row r="47" spans="1:10" x14ac:dyDescent="0.25">
      <c r="A47" s="57" t="b">
        <v>0</v>
      </c>
      <c r="B47" s="57" t="s">
        <v>62</v>
      </c>
      <c r="C47" s="57">
        <v>4016</v>
      </c>
      <c r="D47" s="57">
        <v>746769</v>
      </c>
      <c r="E47" s="57">
        <v>0.5</v>
      </c>
    </row>
  </sheetData>
  <mergeCells count="6">
    <mergeCell ref="F17:J17"/>
    <mergeCell ref="A1:E1"/>
    <mergeCell ref="A2:E2"/>
    <mergeCell ref="A4:E4"/>
    <mergeCell ref="F15:J15"/>
    <mergeCell ref="F16:J16"/>
  </mergeCells>
  <conditionalFormatting sqref="E6:E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{060E8D87-F5FE-43F4-B3EA-6636734471B9}</x14:id>
        </ext>
      </extLst>
    </cfRule>
  </conditionalFormatting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E8D87-F5FE-43F4-B3EA-6636734471B9}">
            <x14:dataBar minLength="0" maxLength="100" negativeBarColorSameAsPositive="1" axisPosition="none">
              <x14:cfvo type="min"/>
              <x14:cfvo type="max"/>
            </x14:dataBar>
          </x14:cfRule>
          <xm:sqref>E6:E15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DA36-34FC-4AE5-A0A6-48539027F966}">
  <dimension ref="A1:R36"/>
  <sheetViews>
    <sheetView tabSelected="1" topLeftCell="A32" zoomScale="120" zoomScaleNormal="120" workbookViewId="0">
      <selection activeCell="K33" sqref="K33"/>
    </sheetView>
  </sheetViews>
  <sheetFormatPr defaultRowHeight="15" x14ac:dyDescent="0.25"/>
  <cols>
    <col min="1" max="1" width="10.42578125" customWidth="1"/>
    <col min="2" max="2" width="12.7109375" customWidth="1"/>
    <col min="3" max="3" width="11.140625" customWidth="1"/>
    <col min="4" max="4" width="14" customWidth="1"/>
    <col min="5" max="5" width="13.28515625" customWidth="1"/>
    <col min="6" max="6" width="10.5703125" customWidth="1"/>
    <col min="13" max="13" width="39" customWidth="1"/>
    <col min="14" max="15" width="20" customWidth="1"/>
    <col min="16" max="17" width="18.140625" customWidth="1"/>
    <col min="18" max="18" width="11.42578125" customWidth="1"/>
  </cols>
  <sheetData>
    <row r="1" spans="1:18" ht="15.75" x14ac:dyDescent="0.25">
      <c r="A1" s="78" t="s">
        <v>161</v>
      </c>
      <c r="B1" s="78"/>
      <c r="C1" s="78"/>
      <c r="D1" s="78"/>
    </row>
    <row r="2" spans="1:18" x14ac:dyDescent="0.25">
      <c r="A2" s="12" t="s">
        <v>130</v>
      </c>
      <c r="B2" s="12" t="s">
        <v>162</v>
      </c>
      <c r="C2" s="12" t="s">
        <v>140</v>
      </c>
      <c r="D2" s="12" t="s">
        <v>163</v>
      </c>
    </row>
    <row r="3" spans="1:18" ht="24" customHeight="1" x14ac:dyDescent="0.25">
      <c r="A3" s="12" t="s">
        <v>96</v>
      </c>
      <c r="B3" s="38" t="s">
        <v>164</v>
      </c>
      <c r="C3" s="14">
        <v>630</v>
      </c>
      <c r="D3" s="15">
        <v>0.126</v>
      </c>
      <c r="M3" s="78" t="s">
        <v>139</v>
      </c>
      <c r="N3" s="78"/>
      <c r="O3" s="78"/>
      <c r="P3" s="78"/>
      <c r="Q3" s="12"/>
      <c r="R3" s="12"/>
    </row>
    <row r="4" spans="1:18" x14ac:dyDescent="0.25">
      <c r="A4" s="12"/>
      <c r="B4" s="38" t="s">
        <v>165</v>
      </c>
      <c r="C4" s="14">
        <v>516</v>
      </c>
      <c r="D4" s="15">
        <v>0.1032</v>
      </c>
      <c r="M4" s="12" t="s">
        <v>130</v>
      </c>
      <c r="N4" s="12" t="s">
        <v>140</v>
      </c>
      <c r="O4" s="12" t="s">
        <v>141</v>
      </c>
      <c r="P4" s="12" t="s">
        <v>142</v>
      </c>
      <c r="Q4" s="12"/>
      <c r="R4" s="12"/>
    </row>
    <row r="5" spans="1:18" x14ac:dyDescent="0.25">
      <c r="A5" s="12"/>
      <c r="B5" s="38" t="s">
        <v>166</v>
      </c>
      <c r="C5" s="14">
        <v>398</v>
      </c>
      <c r="D5" s="15">
        <v>7.9600000000000004E-2</v>
      </c>
      <c r="M5" s="12" t="s">
        <v>96</v>
      </c>
      <c r="N5" s="14">
        <v>5000</v>
      </c>
      <c r="O5" s="14">
        <v>2551</v>
      </c>
      <c r="P5" s="15">
        <f>O5/N5</f>
        <v>0.51019999999999999</v>
      </c>
      <c r="Q5" s="12"/>
      <c r="R5" s="12"/>
    </row>
    <row r="6" spans="1:18" x14ac:dyDescent="0.25">
      <c r="A6" s="12"/>
      <c r="B6" s="38" t="s">
        <v>167</v>
      </c>
      <c r="C6" s="14">
        <v>333</v>
      </c>
      <c r="D6" s="15">
        <v>6.6600000000000006E-2</v>
      </c>
      <c r="M6" s="12" t="s">
        <v>97</v>
      </c>
      <c r="N6" s="14">
        <v>1047</v>
      </c>
      <c r="O6" s="14">
        <v>619</v>
      </c>
      <c r="P6" s="15">
        <f t="shared" ref="P6:P7" si="0">O6/N6</f>
        <v>0.59121298949379175</v>
      </c>
      <c r="Q6" s="12"/>
      <c r="R6" s="12"/>
    </row>
    <row r="7" spans="1:18" x14ac:dyDescent="0.25">
      <c r="A7" s="12"/>
      <c r="B7" s="38" t="s">
        <v>168</v>
      </c>
      <c r="C7" s="14">
        <v>322</v>
      </c>
      <c r="D7" s="15">
        <v>6.4399999999999999E-2</v>
      </c>
      <c r="M7" s="12" t="s">
        <v>39</v>
      </c>
      <c r="N7" s="14">
        <v>260</v>
      </c>
      <c r="O7" s="14">
        <v>240</v>
      </c>
      <c r="P7" s="15">
        <f t="shared" si="0"/>
        <v>0.92307692307692313</v>
      </c>
      <c r="Q7" s="12"/>
      <c r="R7" s="12"/>
    </row>
    <row r="8" spans="1:18" x14ac:dyDescent="0.25">
      <c r="A8" s="12" t="s">
        <v>97</v>
      </c>
      <c r="B8" s="38" t="s">
        <v>165</v>
      </c>
      <c r="C8" s="14">
        <v>178</v>
      </c>
      <c r="D8" s="15">
        <v>0.17000955109837632</v>
      </c>
      <c r="M8" s="12"/>
      <c r="N8" s="12"/>
      <c r="O8" s="12"/>
      <c r="P8" s="12"/>
      <c r="Q8" s="12"/>
      <c r="R8" s="12"/>
    </row>
    <row r="9" spans="1:18" x14ac:dyDescent="0.25">
      <c r="A9" s="12"/>
      <c r="B9" s="38" t="s">
        <v>164</v>
      </c>
      <c r="C9" s="14">
        <v>149</v>
      </c>
      <c r="D9" s="15">
        <v>0.14231136580706782</v>
      </c>
      <c r="M9" s="12"/>
      <c r="N9" s="12"/>
      <c r="O9" s="12"/>
      <c r="P9" s="12"/>
      <c r="Q9" s="12"/>
      <c r="R9" s="12"/>
    </row>
    <row r="10" spans="1:18" ht="24" customHeight="1" x14ac:dyDescent="0.25">
      <c r="A10" s="12"/>
      <c r="B10" s="38" t="s">
        <v>166</v>
      </c>
      <c r="C10" s="14">
        <v>77</v>
      </c>
      <c r="D10" s="15">
        <v>7.3543457497612222E-2</v>
      </c>
      <c r="M10" s="78" t="s">
        <v>143</v>
      </c>
      <c r="N10" s="78"/>
      <c r="O10" s="78"/>
      <c r="P10" s="78"/>
      <c r="Q10" s="78"/>
      <c r="R10" s="78"/>
    </row>
    <row r="11" spans="1:18" x14ac:dyDescent="0.25">
      <c r="A11" s="12"/>
      <c r="B11" s="38" t="s">
        <v>168</v>
      </c>
      <c r="C11" s="14">
        <v>71</v>
      </c>
      <c r="D11" s="15">
        <v>6.7812798471824254E-2</v>
      </c>
      <c r="M11" s="12" t="s">
        <v>130</v>
      </c>
      <c r="N11" s="12" t="s">
        <v>144</v>
      </c>
      <c r="O11" s="12" t="s">
        <v>145</v>
      </c>
      <c r="P11" s="12" t="s">
        <v>146</v>
      </c>
      <c r="Q11" s="12" t="s">
        <v>147</v>
      </c>
      <c r="R11" s="12" t="s">
        <v>148</v>
      </c>
    </row>
    <row r="12" spans="1:18" x14ac:dyDescent="0.25">
      <c r="A12" s="12"/>
      <c r="B12" s="38" t="s">
        <v>169</v>
      </c>
      <c r="C12" s="14">
        <v>66</v>
      </c>
      <c r="D12" s="15">
        <v>6.3037249283667621E-2</v>
      </c>
      <c r="M12" s="12" t="s">
        <v>96</v>
      </c>
      <c r="N12" s="14">
        <v>2551</v>
      </c>
      <c r="O12" s="14">
        <v>61</v>
      </c>
      <c r="P12" s="12" t="s">
        <v>149</v>
      </c>
      <c r="Q12" s="15">
        <v>8.7999999999999995E-2</v>
      </c>
      <c r="R12" s="37">
        <v>0.04</v>
      </c>
    </row>
    <row r="13" spans="1:18" x14ac:dyDescent="0.25">
      <c r="A13" s="12" t="s">
        <v>39</v>
      </c>
      <c r="B13" s="38" t="s">
        <v>164</v>
      </c>
      <c r="C13" s="14">
        <v>37</v>
      </c>
      <c r="D13" s="15">
        <v>0.1423076923076923</v>
      </c>
      <c r="M13" s="12" t="s">
        <v>97</v>
      </c>
      <c r="N13" s="14">
        <v>619</v>
      </c>
      <c r="O13" s="14">
        <v>51</v>
      </c>
      <c r="P13" s="12" t="s">
        <v>150</v>
      </c>
      <c r="Q13" s="15">
        <v>0.123</v>
      </c>
      <c r="R13" s="37">
        <v>4.3999999999999997E-2</v>
      </c>
    </row>
    <row r="14" spans="1:18" x14ac:dyDescent="0.25">
      <c r="A14" s="12"/>
      <c r="B14" s="38" t="s">
        <v>170</v>
      </c>
      <c r="C14" s="14">
        <v>36</v>
      </c>
      <c r="D14" s="15">
        <v>0.13846153846153847</v>
      </c>
      <c r="M14" s="12" t="s">
        <v>39</v>
      </c>
      <c r="N14" s="14">
        <v>240</v>
      </c>
      <c r="O14" s="14">
        <v>30</v>
      </c>
      <c r="P14" s="12" t="s">
        <v>151</v>
      </c>
      <c r="Q14" s="15">
        <v>0.154</v>
      </c>
      <c r="R14" s="37">
        <v>7.5999999999999998E-2</v>
      </c>
    </row>
    <row r="15" spans="1:18" x14ac:dyDescent="0.25">
      <c r="A15" s="12"/>
      <c r="B15" s="38" t="s">
        <v>167</v>
      </c>
      <c r="C15" s="14">
        <v>34</v>
      </c>
      <c r="D15" s="15">
        <v>0.13076923076923078</v>
      </c>
      <c r="M15" s="12"/>
      <c r="N15" s="12"/>
      <c r="O15" s="12"/>
      <c r="P15" s="12"/>
      <c r="Q15" s="12"/>
      <c r="R15" s="12"/>
    </row>
    <row r="16" spans="1:18" x14ac:dyDescent="0.25">
      <c r="A16" s="12"/>
      <c r="B16" s="38" t="s">
        <v>165</v>
      </c>
      <c r="C16" s="14">
        <v>24</v>
      </c>
      <c r="D16" s="15">
        <v>9.2307692307692313E-2</v>
      </c>
      <c r="M16" s="12"/>
      <c r="N16" s="12"/>
      <c r="O16" s="12"/>
      <c r="P16" s="12"/>
      <c r="Q16" s="12"/>
      <c r="R16" s="12"/>
    </row>
    <row r="17" spans="1:18" ht="24" customHeight="1" x14ac:dyDescent="0.25">
      <c r="A17" s="12"/>
      <c r="B17" s="38" t="s">
        <v>171</v>
      </c>
      <c r="C17" s="14">
        <v>18</v>
      </c>
      <c r="D17" s="15">
        <v>6.9230769230769235E-2</v>
      </c>
      <c r="M17" s="78" t="s">
        <v>152</v>
      </c>
      <c r="N17" s="78"/>
      <c r="O17" s="78"/>
      <c r="P17" s="78"/>
      <c r="Q17" s="12"/>
      <c r="R17" s="12"/>
    </row>
    <row r="18" spans="1:18" x14ac:dyDescent="0.25">
      <c r="A18" s="12"/>
      <c r="B18" s="38" t="s">
        <v>168</v>
      </c>
      <c r="C18" s="14">
        <v>18</v>
      </c>
      <c r="D18" s="15">
        <v>6.9230769230769235E-2</v>
      </c>
      <c r="M18" s="12" t="s">
        <v>130</v>
      </c>
      <c r="N18" s="12" t="s">
        <v>153</v>
      </c>
      <c r="O18" s="12" t="s">
        <v>140</v>
      </c>
      <c r="P18" s="12" t="s">
        <v>154</v>
      </c>
      <c r="Q18" s="12"/>
      <c r="R18" s="12"/>
    </row>
    <row r="19" spans="1:18" x14ac:dyDescent="0.25">
      <c r="M19" s="12" t="s">
        <v>96</v>
      </c>
      <c r="N19" s="12" t="s">
        <v>149</v>
      </c>
      <c r="O19" s="14">
        <v>224</v>
      </c>
      <c r="P19" s="15">
        <v>8.7808702469619762E-2</v>
      </c>
      <c r="Q19" s="12"/>
      <c r="R19" s="12"/>
    </row>
    <row r="20" spans="1:18" ht="27" customHeight="1" x14ac:dyDescent="0.25">
      <c r="A20" s="66" t="s">
        <v>237</v>
      </c>
      <c r="B20" s="66"/>
      <c r="C20" s="66"/>
      <c r="D20" s="66"/>
      <c r="E20" s="66"/>
      <c r="F20" s="66"/>
      <c r="M20" s="12"/>
      <c r="N20" s="12" t="s">
        <v>150</v>
      </c>
      <c r="O20" s="14">
        <v>223</v>
      </c>
      <c r="P20" s="15">
        <v>8.7416699333594666E-2</v>
      </c>
      <c r="Q20" s="12"/>
      <c r="R20" s="12"/>
    </row>
    <row r="21" spans="1:18" ht="21.95" customHeight="1" x14ac:dyDescent="0.25">
      <c r="A21" s="80" t="s">
        <v>238</v>
      </c>
      <c r="B21" s="80"/>
      <c r="C21" s="80"/>
      <c r="D21" s="80"/>
      <c r="E21" s="80"/>
      <c r="F21" s="80"/>
      <c r="M21" s="12"/>
      <c r="N21" s="12" t="s">
        <v>155</v>
      </c>
      <c r="O21" s="14">
        <v>180</v>
      </c>
      <c r="P21" s="15">
        <v>7.0560564484515878E-2</v>
      </c>
      <c r="Q21" s="12"/>
      <c r="R21" s="12"/>
    </row>
    <row r="22" spans="1:18" x14ac:dyDescent="0.25">
      <c r="A22" s="1" t="s">
        <v>162</v>
      </c>
      <c r="B22" s="1" t="s">
        <v>239</v>
      </c>
      <c r="C22" s="1" t="s">
        <v>240</v>
      </c>
      <c r="D22" s="1" t="s">
        <v>241</v>
      </c>
      <c r="E22" s="1" t="s">
        <v>242</v>
      </c>
      <c r="F22" s="1" t="s">
        <v>243</v>
      </c>
      <c r="M22" s="12"/>
      <c r="N22" s="12" t="s">
        <v>156</v>
      </c>
      <c r="O22" s="14">
        <v>133</v>
      </c>
      <c r="P22" s="15">
        <v>5.2136417091336727E-2</v>
      </c>
      <c r="Q22" s="12"/>
      <c r="R22" s="12"/>
    </row>
    <row r="23" spans="1:18" x14ac:dyDescent="0.25">
      <c r="A23" s="84" t="s">
        <v>170</v>
      </c>
      <c r="B23" s="81">
        <v>36</v>
      </c>
      <c r="C23" s="82">
        <v>0.13850000000000001</v>
      </c>
      <c r="D23" s="81">
        <v>444</v>
      </c>
      <c r="E23" s="82">
        <v>4.4499999999999998E-2</v>
      </c>
      <c r="F23" s="83">
        <f>IFERROR(C23/E23,"—")</f>
        <v>3.112359550561798</v>
      </c>
      <c r="M23" s="12"/>
      <c r="N23" s="12" t="s">
        <v>157</v>
      </c>
      <c r="O23" s="14">
        <v>109</v>
      </c>
      <c r="P23" s="15">
        <v>4.2728341826734614E-2</v>
      </c>
      <c r="Q23" s="12"/>
      <c r="R23" s="12"/>
    </row>
    <row r="24" spans="1:18" x14ac:dyDescent="0.25">
      <c r="A24" s="84" t="s">
        <v>244</v>
      </c>
      <c r="B24" s="81">
        <v>14</v>
      </c>
      <c r="C24" s="82">
        <v>5.3800000000000001E-2</v>
      </c>
      <c r="D24" s="81">
        <v>198</v>
      </c>
      <c r="E24" s="82">
        <v>1.9800000000000002E-2</v>
      </c>
      <c r="F24" s="83">
        <f t="shared" ref="F24:F32" si="1">IFERROR(C24/E24,"—")</f>
        <v>2.7171717171717171</v>
      </c>
      <c r="M24" s="12" t="s">
        <v>97</v>
      </c>
      <c r="N24" s="12" t="s">
        <v>150</v>
      </c>
      <c r="O24" s="14">
        <v>76</v>
      </c>
      <c r="P24" s="15">
        <v>0.12277867528271405</v>
      </c>
      <c r="Q24" s="12"/>
      <c r="R24" s="12"/>
    </row>
    <row r="25" spans="1:18" x14ac:dyDescent="0.25">
      <c r="A25" s="84" t="s">
        <v>167</v>
      </c>
      <c r="B25" s="81">
        <v>34</v>
      </c>
      <c r="C25" s="82">
        <v>0.1308</v>
      </c>
      <c r="D25" s="81">
        <v>688</v>
      </c>
      <c r="E25" s="82">
        <v>6.8900000000000003E-2</v>
      </c>
      <c r="F25" s="83">
        <f t="shared" si="1"/>
        <v>1.8984034833091437</v>
      </c>
      <c r="M25" s="12"/>
      <c r="N25" s="12" t="s">
        <v>149</v>
      </c>
      <c r="O25" s="14">
        <v>59</v>
      </c>
      <c r="P25" s="15">
        <v>9.5315024232633286E-2</v>
      </c>
      <c r="Q25" s="12"/>
      <c r="R25" s="12"/>
    </row>
    <row r="26" spans="1:18" x14ac:dyDescent="0.25">
      <c r="A26" s="84" t="s">
        <v>171</v>
      </c>
      <c r="B26" s="81">
        <v>18</v>
      </c>
      <c r="C26" s="82">
        <v>6.9199999999999998E-2</v>
      </c>
      <c r="D26" s="81">
        <v>459</v>
      </c>
      <c r="E26" s="82">
        <v>4.5999999999999999E-2</v>
      </c>
      <c r="F26" s="83">
        <f t="shared" si="1"/>
        <v>1.5043478260869565</v>
      </c>
      <c r="M26" s="12"/>
      <c r="N26" s="12" t="s">
        <v>156</v>
      </c>
      <c r="O26" s="14">
        <v>25</v>
      </c>
      <c r="P26" s="15">
        <v>4.0387722132471729E-2</v>
      </c>
      <c r="Q26" s="12"/>
      <c r="R26" s="12"/>
    </row>
    <row r="27" spans="1:18" x14ac:dyDescent="0.25">
      <c r="A27" s="84" t="s">
        <v>164</v>
      </c>
      <c r="B27" s="81">
        <v>37</v>
      </c>
      <c r="C27" s="82">
        <v>0.14230000000000001</v>
      </c>
      <c r="D27" s="81">
        <v>1255</v>
      </c>
      <c r="E27" s="82">
        <v>0.1258</v>
      </c>
      <c r="F27" s="83">
        <f t="shared" si="1"/>
        <v>1.131160572337043</v>
      </c>
      <c r="M27" s="12"/>
      <c r="N27" s="12" t="s">
        <v>158</v>
      </c>
      <c r="O27" s="14">
        <v>25</v>
      </c>
      <c r="P27" s="15">
        <v>4.0387722132471729E-2</v>
      </c>
      <c r="Q27" s="12"/>
      <c r="R27" s="12"/>
    </row>
    <row r="28" spans="1:18" x14ac:dyDescent="0.25">
      <c r="A28" s="84" t="s">
        <v>169</v>
      </c>
      <c r="B28" s="81">
        <v>14</v>
      </c>
      <c r="C28" s="82">
        <v>5.3800000000000001E-2</v>
      </c>
      <c r="D28" s="81">
        <v>511</v>
      </c>
      <c r="E28" s="82">
        <v>5.1200000000000002E-2</v>
      </c>
      <c r="F28" s="83">
        <f t="shared" si="1"/>
        <v>1.05078125</v>
      </c>
      <c r="M28" s="12"/>
      <c r="N28" s="12" t="s">
        <v>159</v>
      </c>
      <c r="O28" s="14">
        <v>23</v>
      </c>
      <c r="P28" s="15">
        <v>3.7156704361873988E-2</v>
      </c>
      <c r="Q28" s="12"/>
      <c r="R28" s="12"/>
    </row>
    <row r="29" spans="1:18" x14ac:dyDescent="0.25">
      <c r="A29" s="84" t="s">
        <v>168</v>
      </c>
      <c r="B29" s="81">
        <v>18</v>
      </c>
      <c r="C29" s="82">
        <v>6.9199999999999998E-2</v>
      </c>
      <c r="D29" s="81">
        <v>683</v>
      </c>
      <c r="E29" s="82">
        <v>6.8400000000000002E-2</v>
      </c>
      <c r="F29" s="83">
        <f t="shared" si="1"/>
        <v>1.0116959064327484</v>
      </c>
      <c r="M29" s="12"/>
      <c r="N29" s="12" t="s">
        <v>155</v>
      </c>
      <c r="O29" s="14">
        <v>23</v>
      </c>
      <c r="P29" s="15">
        <v>3.7156704361873988E-2</v>
      </c>
      <c r="Q29" s="12"/>
      <c r="R29" s="12"/>
    </row>
    <row r="30" spans="1:18" x14ac:dyDescent="0.25">
      <c r="A30" s="84" t="s">
        <v>245</v>
      </c>
      <c r="B30" s="81">
        <v>10</v>
      </c>
      <c r="C30" s="82">
        <v>3.85E-2</v>
      </c>
      <c r="D30" s="81">
        <v>421</v>
      </c>
      <c r="E30" s="82">
        <v>4.2200000000000001E-2</v>
      </c>
      <c r="F30" s="83">
        <f t="shared" si="1"/>
        <v>0.91232227488151652</v>
      </c>
      <c r="M30" s="12" t="s">
        <v>39</v>
      </c>
      <c r="N30" s="12" t="s">
        <v>151</v>
      </c>
      <c r="O30" s="14">
        <v>37</v>
      </c>
      <c r="P30" s="15">
        <v>0.15416666666666667</v>
      </c>
      <c r="Q30" s="12"/>
      <c r="R30" s="12"/>
    </row>
    <row r="31" spans="1:18" x14ac:dyDescent="0.25">
      <c r="A31" s="84" t="s">
        <v>165</v>
      </c>
      <c r="B31" s="81">
        <v>24</v>
      </c>
      <c r="C31" s="82">
        <v>9.2299999999999993E-2</v>
      </c>
      <c r="D31" s="81">
        <v>1087</v>
      </c>
      <c r="E31" s="82">
        <v>0.1089</v>
      </c>
      <c r="F31" s="83">
        <f t="shared" si="1"/>
        <v>0.84756657483930209</v>
      </c>
      <c r="M31" s="12"/>
      <c r="N31" s="12" t="s">
        <v>155</v>
      </c>
      <c r="O31" s="14">
        <v>31</v>
      </c>
      <c r="P31" s="15">
        <v>0.12916666666666668</v>
      </c>
      <c r="Q31" s="12"/>
      <c r="R31" s="12"/>
    </row>
    <row r="32" spans="1:18" x14ac:dyDescent="0.25">
      <c r="A32" s="84" t="s">
        <v>246</v>
      </c>
      <c r="B32" s="81">
        <v>12</v>
      </c>
      <c r="C32" s="82">
        <v>4.6199999999999998E-2</v>
      </c>
      <c r="D32" s="81">
        <v>563</v>
      </c>
      <c r="E32" s="82">
        <v>5.6399999999999999E-2</v>
      </c>
      <c r="F32" s="83">
        <f t="shared" si="1"/>
        <v>0.81914893617021278</v>
      </c>
      <c r="M32" s="12"/>
      <c r="N32" s="12" t="s">
        <v>156</v>
      </c>
      <c r="O32" s="14">
        <v>22</v>
      </c>
      <c r="P32" s="15">
        <v>9.166666666666666E-2</v>
      </c>
      <c r="Q32" s="12"/>
      <c r="R32" s="12"/>
    </row>
    <row r="33" spans="13:18" x14ac:dyDescent="0.25">
      <c r="M33" s="12"/>
      <c r="N33" s="12" t="s">
        <v>150</v>
      </c>
      <c r="O33" s="14">
        <v>19</v>
      </c>
      <c r="P33" s="15">
        <v>7.9166666666666663E-2</v>
      </c>
      <c r="Q33" s="12"/>
      <c r="R33" s="12"/>
    </row>
    <row r="34" spans="13:18" x14ac:dyDescent="0.25">
      <c r="M34" s="12"/>
      <c r="N34" s="12" t="s">
        <v>149</v>
      </c>
      <c r="O34" s="14">
        <v>17</v>
      </c>
      <c r="P34" s="15">
        <v>7.0833333333333331E-2</v>
      </c>
      <c r="Q34" s="12"/>
      <c r="R34" s="12"/>
    </row>
    <row r="35" spans="13:18" x14ac:dyDescent="0.25">
      <c r="M35" s="12"/>
      <c r="N35" s="12"/>
      <c r="O35" s="12"/>
      <c r="P35" s="12"/>
      <c r="Q35" s="12"/>
      <c r="R35" s="12"/>
    </row>
    <row r="36" spans="13:18" ht="21.95" customHeight="1" x14ac:dyDescent="0.25">
      <c r="M36" s="79" t="s">
        <v>160</v>
      </c>
      <c r="N36" s="79"/>
      <c r="O36" s="79"/>
      <c r="P36" s="79"/>
      <c r="Q36" s="79"/>
      <c r="R36" s="79"/>
    </row>
  </sheetData>
  <mergeCells count="7">
    <mergeCell ref="M3:P3"/>
    <mergeCell ref="M10:R10"/>
    <mergeCell ref="M17:P17"/>
    <mergeCell ref="M36:R36"/>
    <mergeCell ref="A1:D1"/>
    <mergeCell ref="A20:F20"/>
    <mergeCell ref="A21:F21"/>
  </mergeCells>
  <conditionalFormatting sqref="F23:F32">
    <cfRule type="cellIs" dxfId="1" priority="1" operator="greaterThan">
      <formula>1</formula>
    </cfRule>
  </conditionalFormatting>
  <conditionalFormatting sqref="F23:F32">
    <cfRule type="cellIs" dxfId="0" priority="2" operator="lessThan">
      <formula>1</formula>
    </cfRule>
  </conditionalFormatting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A90B-0ABA-42CB-A331-77CC23994364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D58A-83B0-406F-B5D2-85289D80F8CF}">
  <dimension ref="A1"/>
  <sheetViews>
    <sheetView workbookViewId="0">
      <selection activeCell="G29" sqref="G2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T1 - Demographics</vt:lpstr>
      <vt:lpstr>T - Genetics</vt:lpstr>
      <vt:lpstr>F - Symptom rates</vt:lpstr>
      <vt:lpstr>F - Medication use</vt:lpstr>
      <vt:lpstr>F - Procedures</vt:lpstr>
      <vt:lpstr>F - Geographic distribution</vt:lpstr>
      <vt:lpstr>F - Deprivation index</vt:lpstr>
      <vt:lpstr>F - "Incidence"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Ma</dc:creator>
  <cp:lastModifiedBy>Kevin Ma</cp:lastModifiedBy>
  <dcterms:created xsi:type="dcterms:W3CDTF">2015-06-05T18:17:20Z</dcterms:created>
  <dcterms:modified xsi:type="dcterms:W3CDTF">2026-10-06T20:51:15Z</dcterms:modified>
</cp:coreProperties>
</file>